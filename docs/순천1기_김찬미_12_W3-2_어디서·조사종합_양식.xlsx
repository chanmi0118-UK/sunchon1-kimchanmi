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어디서" sheetId="1" r:id="rId5"/>
    <sheet state="visible" name="어디서 예시" sheetId="2" r:id="rId6"/>
    <sheet state="visible" name="조사 종합 자료" sheetId="3" r:id="rId7"/>
    <sheet state="visible" name="피드백 조사" sheetId="4" r:id="rId8"/>
    <sheet state="visible" name="3C" sheetId="5" r:id="rId9"/>
    <sheet state="visible" name="시장한문장 예시" sheetId="6" r:id="rId10"/>
    <sheet state="visible" name="조사종합" sheetId="7" r:id="rId11"/>
    <sheet state="visible" name="조사종합 예시"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뮤지컬 관람 주제.</t>
      </text>
    </comment>
  </commentList>
</comments>
</file>

<file path=xl/sharedStrings.xml><?xml version="1.0" encoding="utf-8"?>
<sst xmlns="http://schemas.openxmlformats.org/spreadsheetml/2006/main" count="249" uniqueCount="200">
  <si>
    <t>K-POP 이머시브 콘텐츠 기획자 양성과정 · 1기   ·   12일차 W3-2 (수)   ·   STUDIO 1 · 시장조사 ② — 가정과 근거</t>
  </si>
  <si>
    <t>실습 ① — 내 팝업의 「어디서」</t>
  </si>
  <si>
    <t>월요일 가안에 장소와 운영 한 줄을 붙인다.  운영 5축 중 ★ 바꿀 것 «1건»만 고른다 — 다 바꾸려 들면 아무것도 안 바뀐다.  ★ 마지막 열을 반드시 채운다.  근거가 없으면 비우지 말고  「가정: ___ (근거: ___)」  형태로 적는다.</t>
  </si>
  <si>
    <t>이름</t>
  </si>
  <si>
    <t>거점</t>
  </si>
  <si>
    <t>항목</t>
  </si>
  <si>
    <t>월요일 가안</t>
  </si>
  <si>
    <t>바꿀 것인가</t>
  </si>
  <si>
    <t>바꾼 내용</t>
  </si>
  <si>
    <t>★ 근거  또는  「가정: __ (근거: __)」</t>
  </si>
  <si>
    <t>한국 / 해외 (택1)</t>
  </si>
  <si>
    <t>한국</t>
  </si>
  <si>
    <t>해외 현지는 확인 불가.</t>
  </si>
  <si>
    <t>고른 이유 한 줄</t>
  </si>
  <si>
    <t xml:space="preserve">페르소나(한국 여성, 만 32세, 여수거주/취준생, 뮤지컬 및 콘서트/ 클래식 공연 관람 취미)가 실제로 갈 수 있는거리 
</t>
  </si>
  <si>
    <t xml:space="preserve"> 페르소나와 이어진다.
</t>
  </si>
  <si>
    <t>─ 운영 5축 ─</t>
  </si>
  <si>
    <t>① 장소</t>
  </si>
  <si>
    <t xml:space="preserve">여수 예울마루 </t>
  </si>
  <si>
    <t xml:space="preserve">GS 칼텍스 산하 공연장으로 주기적으로 뮤지컬 및 미술 전시회가 열림.
(근거 없음: 공연 검색 시 대부분 예울마루에서 이루어짐/확인필요.) </t>
  </si>
  <si>
    <r>
      <rPr>
        <color rgb="FF1155CC"/>
        <u/>
      </rPr>
      <t>https://www.yeosu.go.kr/tour/culture_festa/month_event?date=2026-09-12</t>
    </r>
    <r>
      <rPr/>
      <t xml:space="preserve">
근거: 여수 시청-여수 관광문화-문화/축제- 월별 문화 행사 일정 확인 시 예울 마루가 더 많음.
한달 기준 절반 이상을 차지함.</t>
    </r>
  </si>
  <si>
    <t>② 기간</t>
  </si>
  <si>
    <t>1~2일</t>
  </si>
  <si>
    <t xml:space="preserve">1.인구 기반 수요의 한계.
2. 투어 공연의 손익분기점을 넘기 어려움.
(근거- 없음/ 확인필요)
</t>
  </si>
  <si>
    <r>
      <rPr/>
      <t xml:space="preserve">근거: KOPIS 공연예술 통합 전산망 공연시장 티켓 판매 현황  분석 보고서/예술경영지원센터-자료공간-동향/분석자료
</t>
    </r>
    <r>
      <rPr>
        <color rgb="FF1155CC"/>
        <u/>
      </rPr>
      <t xml:space="preserve">https://kopis.or.kr/por/cs/notice/csReportListView.do?menuId=MNU_000130&amp;ntt_id=4556&amp;tmpr01=R&amp;orderAscYn=DESC&amp;curPage=1
https://www.gokams.or.kr/05_know/trends_01.aspx
</t>
    </r>
    <r>
      <rPr/>
      <t>26년 상반기 수도권(서울·경기·인천)은 전체 티켓예매수의 77.2%, 티켓판매액의 81.0%를 차지하였다.
수도권을 제외한 지역의 티켓예매수는 부산(67만 5,068매), 대구(42만 406매), 대전(22만 855매) 순으로 많았으며,. 이외에도 광주(+30.7%, +52.4%), 대전(+27.1%, +70.2%), 강원(+20.1%, +50.6%)이 티켓판매액에서 50% 이상의 성장세를 보였다. 
-&gt; 지방의 티켓 판매 율이 늘었지만 여전히 수도권에 집중되어 있음.</t>
    </r>
  </si>
  <si>
    <t>③ 가격</t>
  </si>
  <si>
    <t>2만원~ 5만원 (보통)
유명한 작품의 경우 그 이상.</t>
  </si>
  <si>
    <t>1. 가격이 비싸면 보러 오지 않는 경우가 있음.
2. 회사 복지 차원에서 할인 및 지역 소외계층 시민 초대권을 주기도함.(메세나 활동)
(근거 없음:직접 경험- 확인필요)</t>
  </si>
  <si>
    <r>
      <rPr/>
      <t xml:space="preserve">근거: 정부 지원 차원 시행 및 대기업 메세나 활동.
</t>
    </r>
    <r>
      <rPr>
        <color rgb="FF1155CC"/>
        <u/>
      </rPr>
      <t>https://v.daum.net/v/20260901122042826?f=p
https://www.kci.go.kr/kciportal/ci/sereArticleSearch/ciSereArtiView.kci?sereArticleSearchBean.artiId=ART002611780</t>
    </r>
  </si>
  <si>
    <t>④ 인원·동선</t>
  </si>
  <si>
    <t>핸드폰 뒷자리 및 신분증 확인을 통해 표 수령하여 직원안내를 통해 입장.</t>
  </si>
  <si>
    <t xml:space="preserve">보통 공연장에서 하는 방법.
예울마울 1층과 2층으로 이루어져 총 1021석으로 이루어진 공연장으로 한번만 많은 인원을 수용하기 보다 직원의 안내에 따라 줄을 서서 입장한다. </t>
  </si>
  <si>
    <r>
      <rPr/>
      <t xml:space="preserve">근거: 예울마루 공식 홈페이지 예매 확인 및 그 밖의 법률에 근거하여 진행.
1. 암표 거래 방지: 「공연법」 제4조의2(입장권 등의 부정판매 금지)
2. 안전관리 및 관객 집계 : 「공연법」 제11조(재해대처계획의 신고 등) 및 제11조의4(공연장외의 장소에서의 공연에 대한 안전관리 등)
3. 예매 약관 및 사기 방지 관련 기준 : 소비자 분쟁 해결 기준
</t>
    </r>
    <r>
      <rPr>
        <color rgb="FF1155CC"/>
        <u/>
      </rPr>
      <t xml:space="preserve">https://www.law.go.kr/lsSc.do?section=&amp;menuId=1&amp;subMenuId=15&amp;tabMenuId=81&amp;eventGubun=060101&amp;query=%EA%B3%B5%EC%97%B0%EB%B2%95#undefined
https://www.kca.go.kr/odr/cm/in/rsltnCrtral.do
https://www.yeulmaru.org/booking/?kind=2
</t>
    </r>
    <r>
      <rPr/>
      <t xml:space="preserve">검색 시 사례 찾기가 어렵지만... 장애인에 대한 극장 접근성 점검에 관한 기사가 있어서 넣습니다.
</t>
    </r>
    <r>
      <rPr>
        <color rgb="FF1155CC"/>
        <u/>
      </rPr>
      <t>https://ch.yes24.com/article/details/74291</t>
    </r>
  </si>
  <si>
    <t>⑤ 홍보</t>
  </si>
  <si>
    <t>인스타 및 각종  SNS/ 예울마루 예매 공식 사이트 및 자체 홍보 (길거리 현수막)</t>
  </si>
  <si>
    <t>대부분의 사람들이 인스타나 길거리 홍보 현수막을 보고 예매
(근거 없음: 직접경험- 확인필요)</t>
  </si>
  <si>
    <r>
      <rPr/>
      <t xml:space="preserve">인구학적 요인과 디자인 요소가 옥외광고 효과에 미치는 영향 - 대구시내 현수막을 중심으로 (논문)
</t>
    </r>
    <r>
      <rPr>
        <color rgb="FF1155CC"/>
        <u/>
      </rPr>
      <t>https://www.kci.go.kr/kciportal/landing/article.kci?arti_id=ART001486297</t>
    </r>
    <r>
      <rPr/>
      <t xml:space="preserve">
SNS특성이 공연예술소비자의 티켓구매의도에 미치는 영향 (논문)
</t>
    </r>
    <r>
      <rPr>
        <color rgb="FF1155CC"/>
        <u/>
      </rPr>
      <t>https://www.riss.kr/search/detail/DetailView.do?p_mat_type=1a0202e37d52c72d&amp;control_no=9e8e5e62cc3af5f0b7998d826d417196</t>
    </r>
  </si>
  <si>
    <t>질문 카드 (막힌 점·헷갈리는 점 한 가지 이상)</t>
  </si>
  <si>
    <t>실습 ① — 내 팝업의 「어디서」   —   작성 예시</t>
  </si>
  <si>
    <t>★ 바꾼 축이 «가격» 하나뿐이다.  그리고 근거가 없는 줄은 「가정」이라고 적혀 있다 — 비워 두지 않은 것이 이 예시의 핵심이다.</t>
  </si>
  <si>
    <t>홍길동 (예시)</t>
  </si>
  <si>
    <t>광주 (예시)</t>
  </si>
  <si>
    <t>한국 (서울)</t>
  </si>
  <si>
    <t>해외는 현지 확인을 못 한다 — 못 하는 걸 고르지 않는다</t>
  </si>
  <si>
    <t>내 페르소나(23세 직장인, 퇴근 후 이동)가 실제로 갈 수 있는 거리</t>
  </si>
  <si>
    <t>★ 페르소나와 이어진다</t>
  </si>
  <si>
    <t>성수동 편집숍 2층</t>
  </si>
  <si>
    <t>—</t>
  </si>
  <si>
    <t>그대로</t>
  </si>
  <si>
    <t>7일차 인터뷰에서 «성수는 자주 간다»가 두 번 나옴</t>
  </si>
  <si>
    <t>2주</t>
  </si>
  <si>
    <t>가정: 첫 팝업은 2주가 적당하다 (근거: 없음 — 확인 필요)</t>
  </si>
  <si>
    <t>무료 입장</t>
  </si>
  <si>
    <t>★ 바꾼다</t>
  </si>
  <si>
    <t>무료 입장 + 유료 체험존 8,000원</t>
  </si>
  <si>
    <t>가정: 무료면 체류가 짧다 (근거: 방문자 후기 3건에 «금방 나왔다»)</t>
  </si>
  <si>
    <t>동시 20명</t>
  </si>
  <si>
    <t>가정: 2층 면적 기준 (근거: 없음 — 도면 확인 필요)</t>
  </si>
  <si>
    <t>인스타 위주</t>
  </si>
  <si>
    <t>11일차 조사 — 판매자 글 6건 중 5건이 인스타 중심</t>
  </si>
  <si>
    <t>가정이 다섯 줄 중 세 줄이나 된다 — 이 정도면 기획안으로 제출해도 되나?</t>
  </si>
  <si>
    <t>「한국의 사회동향 2023」</t>
  </si>
  <si>
    <t>연도</t>
  </si>
  <si>
    <t>수도권</t>
  </si>
  <si>
    <t>비수도권</t>
  </si>
  <si>
    <t>비수도권 시군구</t>
  </si>
  <si>
    <t>약 58%</t>
  </si>
  <si>
    <t>약 52%</t>
  </si>
  <si>
    <t>약 43%</t>
  </si>
  <si>
    <t>약 67%</t>
  </si>
  <si>
    <t>약 63%</t>
  </si>
  <si>
    <t>약 24%</t>
  </si>
  <si>
    <t>약 21%</t>
  </si>
  <si>
    <t>약 17%</t>
  </si>
  <si>
    <t>모든 장르에서 비수도권 관람률이 수도권보다 낮았다는 점</t>
  </si>
  <si>
    <t>“지방 거주자의 문화생활 비율이 낮을 것 같다” (가설)</t>
  </si>
  <si>
    <t>https://mods.go.kr/unifSearch/search.es</t>
  </si>
  <si>
    <t xml:space="preserve">관련 논문) </t>
  </si>
  <si>
    <t>문화 인프라와 거주민의 문화 향유 간 관계 연구: 수도권 중심으로-2024</t>
  </si>
  <si>
    <t>문화인프라가 부족한 지역에서는 시설 확충이 문화향유 증가와 관련이 있었고, 문화예술 관련 예산 자체의 규모보다 어떤 프로그램을 운영하는지가 중요할 가능성이 나타났다는 것입니다.</t>
  </si>
  <si>
    <t>https://www.kci.go.kr/kciportal/landing/article.kci?arti_id=ART003115529&amp;utm_source=chatgpt.com</t>
  </si>
  <si>
    <t>The Impact of Local Government's Cultural Supply on Cultural Consumption = 지방자치단체의 문화공급 수준이 문화향유에 미치는 영향</t>
  </si>
  <si>
    <t xml:space="preserve">특히 연구에서 10만 명당 문화기반시설 수가 문화기반시설 이용횟수에 유의미한 영향을 주었고, 지역문화재단 인력은 문화예술행사 관람률에 유의미한 영향을 보였다고 분석합니다. </t>
  </si>
  <si>
    <t>https://www.riss.kr/link?id=T16160720</t>
  </si>
  <si>
    <t>서울과 지역뮤지컬 관객의 만족도 구성요인에 관한 연구</t>
  </si>
  <si>
    <t>관객의 95%, 뮤지컬 전용극장의 90% 이상이 서울을 비롯한 수도권을 중심으로 형성되어 있다.</t>
  </si>
  <si>
    <t>https://www.riss.kr/link?id=T14576966</t>
  </si>
  <si>
    <t>‘국민문화예술활동조사’에 따르면 최근 1년간 문화예술 관람 경험률은 서울 62.3%, 경기 60.6%, 인천 60.8%다. 경북 48.5%, 강원 49.5%, 전남 49.8%와 비교하면 서울과 경북의 격차는 13.8%포인트다. 이는 취향의 차이라기보다 접근 조건의 차이에 가깝다. 가까운 곳에 공연장이 있고 선택지가 많을수록 문화는 ‘특별한 행사’가 아니라 ‘일상적 선택’이 된다.</t>
  </si>
  <si>
    <r>
      <rPr/>
      <t xml:space="preserve"> </t>
    </r>
    <r>
      <rPr>
        <color rgb="FF1155CC"/>
        <u/>
      </rPr>
      <t>https://www.newscj.com/news/articleView.html?idxno=3377295</t>
    </r>
  </si>
  <si>
    <t>26년 상반기 수도권(서울·경기·인천)은 전체 티켓예매수의 77.2%, 티켓판매액의 81.0%를 차지하였다.</t>
  </si>
  <si>
    <t>수도권을 제외한 지역의 티켓예매수는 부산(67만 5,068매), 대구(42만 406매), 대전(22만 855매) 순으로 많았으며,. 이외에도 광주(+30.7%, +52.4%), 대전(+27.1%, +70.2%), 강원(+20.1%, +50.6%)이 티켓판매액에서 50% 이상의 성장세를 보였다.</t>
  </si>
  <si>
    <t>-&gt; 지방의 티켓 판매 율이 늘었지만 여전히 수도권에 집중되어 있음.</t>
  </si>
  <si>
    <t>https://kopis.or.kr/por/cs/notice/csReportListView.do?menuId=MNU_000130&amp;ntt_id=4556&amp;tmpr01=R&amp;orderAscYn=DESC&amp;curPage=1"</t>
  </si>
  <si>
    <t>https://www.gokams.or.kr/05_know/trends_01.aspx</t>
  </si>
  <si>
    <t>한 편 보는 데 50만원, 지방 '뮤덕'은 오늘도 달린다 [어쩌다, 커튼콜]</t>
  </si>
  <si>
    <t>지방 관객의 서울 공연 1회 관람 비용이 약 43만 원, 상황에 따라 50만 원까지 올라갈 수 있다고 설명합니다.</t>
  </si>
  <si>
    <t>서울 관객에게는 티켓값만 고려하면 여러 번 관람할 수 있지만 지방 관객은 교통·숙박·식비 때문에 동일한 돈으로 관람할 수 있는 횟수가 줄어든다는 분석입니다.</t>
  </si>
  <si>
    <t>https://www.sedaily.com/article/13706948</t>
  </si>
  <si>
    <t>3~4시간쯤이야… 열혈 원정대 떴다</t>
  </si>
  <si>
    <t>“지역 공연에는 관객이 없다”</t>
  </si>
  <si>
    <t>https://www.seoul.co.kr/news/life/culture-news/2019/04/10/20190410029003?utm_source=chatgpt.com</t>
  </si>
  <si>
    <t>방문자의 글</t>
  </si>
  <si>
    <t>[일반] 비밀의화원 대본집(?) 같은거 없겠지? (스포있음)</t>
  </si>
  <si>
    <t>난 지방러 뉴비야.</t>
  </si>
  <si>
    <t>여러가지 이유로 서울에 살고 싶다 생각했지만 요즘은 관극때문에 더 서울 살고 싶어져.</t>
  </si>
  <si>
    <t>https://gall.dcinside.com/mini/board/view/?id=musicalplay&amp;no=137059&amp;utm_source=chatgpt.com</t>
  </si>
  <si>
    <t>티켓값만큼 차비 숙박비 나옴.. 난 숙박은 안하고 야간버스타고 오는데 티켓 포함 30은 기본으로 깨짐</t>
  </si>
  <si>
    <t>(유튜브)</t>
  </si>
  <si>
    <t>https://youtube.com/shorts/SaAWaf8z4RE?si=nD0RXwuZPq9P8IhT</t>
  </si>
  <si>
    <t>지방러는 문화생활에 목마르다.</t>
  </si>
  <si>
    <t>https://brunch.co.kr/@kimchaewon/159</t>
  </si>
  <si>
    <t>https://m.cafe.daum.net/subdued20club/ReHf/4031694?</t>
  </si>
  <si>
    <t>글 제목</t>
  </si>
  <si>
    <t>글쓴이</t>
  </si>
  <si>
    <t>무엇을 파는 곳</t>
  </si>
  <si>
    <t>나온 숫자와 그 숫자를 누가 말했나</t>
  </si>
  <si>
    <t>12일차 어느 축과 연결되나</t>
  </si>
  <si>
    <r>
      <rPr>
        <color rgb="FF1155CC"/>
        <u/>
      </rPr>
      <t>전국 최고의 문화예술 시설로 도약한 GS칼텍스 예울마루, 그 10년의 성과</t>
    </r>
  </si>
  <si>
    <t>GS칼텍스 미디어허브 (2022.10 작성, 2025.12 수정)</t>
  </si>
  <si>
    <t>예울마루를 운영하는 회사</t>
  </si>
  <si>
    <t>누적 관람객 108만 명(지역 인구는 27만 명), 3,200여 회, 유료 객석 점유율 73.2%(전국 평균 39.9%). 운영사가 직접 낸 숫자이고, 누가 집계했는지는 적혀 있지 않음</t>
  </si>
  <si>
    <r>
      <rPr>
        <color rgb="FF1155CC"/>
        <u/>
      </rPr>
      <t>2026 뮤지컬 〈미세스 다웃파이어〉 여수</t>
    </r>
  </si>
  <si>
    <t>예울마루 공식 공연 페이지 (주최: 예울마루·여수MBC)</t>
  </si>
  <si>
    <t>공연 티켓</t>
  </si>
  <si>
    <t>2026년 1월 24~25일, 이틀간 4회. R석 17만, S석 14만, A석 11만 원. 할인은 회원 10%, 장애인·유공자 20%, 학생 A석 30%</t>
  </si>
  <si>
    <t>② 기간, ③ 가격</t>
  </si>
  <si>
    <r>
      <rPr>
        <color rgb="FF1155CC"/>
        <u/>
      </rPr>
      <t>뮤지컬 〈명성황후〉 30주년 기념공연 여수</t>
    </r>
  </si>
  <si>
    <t>2025년 7월 4~6일, 3일간 4회. R석 16만, S석 14만, A석 11만 원</t>
  </si>
  <si>
    <r>
      <rPr>
        <color rgb="FF1155CC"/>
        <u/>
      </rPr>
      <t>여수 GS칼텍스 예울마루, 뮤지컬 '미세스 다웃파이어'로 전 세대 공감 무대</t>
    </r>
  </si>
  <si>
    <t>아시아경제 허선식 기자 (2026.1.23). 보도자료를 바탕으로 쓴 것으로 보임</t>
  </si>
  <si>
    <t>예울마루 공연 홍보</t>
  </si>
  <si>
    <t>2번과 같은 가격·할인 정보. "전 세계 최초 라이선스 초연" 같은 평가 표현이라 버릴 문장</t>
  </si>
  <si>
    <t>③ 가격, ⑤ 홍보</t>
  </si>
  <si>
    <r>
      <t xml:space="preserve">인터파크트리플 2023 결산 보도자료. 원문은 못 열었고 </t>
    </r>
    <r>
      <rPr>
        <color rgb="FF1155CC"/>
        <u/>
      </rPr>
      <t>국민일보 비판 기사</t>
    </r>
    <r>
      <rPr/>
      <t>로 확인</t>
    </r>
  </si>
  <si>
    <t>인터파크트리플 (2023.12.29)</t>
  </si>
  <si>
    <t>티켓 판매 플랫폼</t>
  </si>
  <si>
    <t>거래액 1조 원 돌파. 국민일보는 전시·스포츠까지 포함한 데다 용어를 바꿨다고 지적함. KOPIS 집계(3분기까지 8,295억 원)와 다름</t>
  </si>
  <si>
    <t>시장 결론 ①② 출처 비교</t>
  </si>
  <si>
    <r>
      <rPr>
        <color rgb="FF1155CC"/>
        <u/>
      </rPr>
      <t>2025년 뮤지컬 라인업 공개</t>
    </r>
  </si>
  <si>
    <t>CJ ENM 뉴스룸</t>
  </si>
  <si>
    <t>뮤지컬을 제작해 파는 회사</t>
  </si>
  <si>
    <t>객석 점유율 99.4%, 누적 관객 70만 명 등 제작사가 직접 발표한 숫자. 지방투어 도시로 부산, 용인, 고양, 군산, 대전, 대구가 나오고 전남은 없음</t>
  </si>
  <si>
    <t>② 기간, 지방 공급</t>
  </si>
  <si>
    <t>바구니</t>
  </si>
  <si>
    <t>무엇을 담는가</t>
  </si>
  <si>
    <t>내가 찾아온 것 — 출처를 함께</t>
  </si>
  <si>
    <t>보는 사람  (고객)</t>
  </si>
  <si>
    <t>누가 · 왜 보는가. 본 사람이 한 말을 그대로</t>
  </si>
  <si>
    <t xml:space="preserve">[일반] 비밀의화원 대본집(?) 같은거 없겠지? (스포있음)                                        
난 지방러 뉴비야.                                        
여러가지 이유로 서울에 살고 싶다 생각했지만 요즘은 관극때문에 더 서울 살고 싶어져. [디시인사이드] 
지방사람도 문화생활 하고 싶다. 지방 사람도 어쩌다 공연이나 전시가 있으면 종류 안가리고 일단 가보는 문화생활도 말고,
여러 공연 중 보고싶은 공연을 골라보고 싶다.그렇게 다양한 경험을 하면서 취향을 찾고 싶다. 지방러는 문화생활에 목마르다. [브런치 북]
헐 생각해보니 문화생활 좋아하는 지방러들은 그렇네... 난 서울사는데도 전시회, 뮤지컬, 공연 등 이런거 관심이 없어서 별 차이를 못 느꼈어... [유튜브]
한 편 보는 데 50만원, 지방 '뮤덕'은 오늘도 달린다.                                                                                
지방 관객의 서울 공연 1회 관람 비용이 약 43만 원, 상황에 따라 50만 원까지 올라갈 수 있다고 설명합니다.                                                                                
서울 관객에게는 티켓값만 고려하면 여러 번 관람할 수 있지만 지방 관객은 교통·숙박·식비 때문에 동일한 돈으로 관람할 수 있는 횟수가 줄어든다는 분석입니다.[서울 경제]
관객의 95%, 뮤지컬 전용극장의 90% 이상이 서울을 비롯한 수도권을 중심으로 형성되어 있다. [서울과 지역뮤지컬 관객의 만족도 구성요인에 관한 연구]
최근 1년간 문화예술 관람 경험률은 서울 62.3%, 경기 60.6%, 인천 60.8%다. 경북 48.5%, 강원 49.5%, 전남 49.8%와 비교하면 서울과 경북의 격차는 13.8%포인트다. 이는 취향의 차이라기보다 접근 조건의 차이에 가깝다. [국민 문화예술 활동 조사]
26년 상반기 수도권(서울·경기·인천)은 전체 티켓예매수의 77.2%, 티켓판매액의 81.0%를 차지하였다.                                                                                                        
수도권을 제외한 지역의 티켓예매수는 부산(67만 5,068매), 대구(42만 406매), 대전(22만 855매) 순으로 많았으며,. 이외에도 광주(+30.7%, +52.4%), 대전(+27.1%, +70.2%), 강원(+20.1%, +50.6%)이 티켓판매액에서 50% 이상의 성장세를 보였다.[KOPIS]                                                                                                      </t>
  </si>
  <si>
    <t>이미 하고 있는 곳  (경쟁)</t>
  </si>
  <si>
    <t>어느 회사가 «무엇으로» 버는가. ★ 회사 이름만 적으면 안 채운 것</t>
  </si>
  <si>
    <t>누적 관람객 108만 명(지역 인구는 27만 명), 3,200여 회, 유료 객석 점유율 73.2%(전국 평균 39.9%). 운영사가 직접 낸 숫자이고, 누가 집계했는지는 적혀 있지 않음.[예울마루를 운영하는 회사]
2026년 1월 24~25일, 이틀간 4회. R석 17만, S석 14만, A석 11만 원. 할인은 회원 10%, 장애인·유공자 20%, 학생 A석 30% [공연티켓]
2025년 7월 4~6일, 3일간 4회. R석 16만, S석 14만, A석 11만 원 [공연티켓]
객석 점유율 99.4%, 누적 관객 70만 명 등 제작사가 직접 발표한 숫자. 지방투어 도시로 부산, 용인, 고양, 군산, 대전, 대구가 나오고 전남은 없음 [뮤지컬을 제작해 파는 회사]</t>
  </si>
  <si>
    <t>우리  (자사)</t>
  </si>
  <si>
    <t>내가 가진 것. 회사가 없으면 '내 기획팀' — 시간 · 아는 분야 · 다룰 줄 아는 도구</t>
  </si>
  <si>
    <t xml:space="preserve">지역 관객의 문화 갈증을 해결하기 위한 기획팀 구성.
- 공연·뮤지컬 관람 경험과 관객 조사 인사이트
- SNS 홍보 및 온라인 커뮤니티 운영 역량
- 기획서 작성 및 데이터 분석 능력
- 지역 문화재단·공연장과 협력 가능성
</t>
  </si>
  <si>
    <t>칸</t>
  </si>
  <si>
    <t>내가 채우는 자리</t>
  </si>
  <si>
    <t>① 본 사람들이 한 말 (원문)</t>
  </si>
  <si>
    <t>“지방러 뉴비야. 서울 살고 싶다 생각했지만 요즘은 관극 때문에 더 서울 살고 싶어져.”
“지방 사람도 문화생활 하고 싶다. 공연이나 전시가 있으면 종류 안 가리고 가보는 게 아니라, 여러 공연 중 보고 싶은 걸 골라보고 싶다. 취향을 찾고 싶다. 지방러는 문화생활에 목마르다.”
“헐 생각해보니 문화생활 좋아하는 지방러들은 그렇네… 난 서울 사는데도 공연 관심 없어서 차이를 못 느꼈어.”
“한 편 보는 데 50만 원, 지방 ‘뮤덕’은 오늘도 달린다.”
“서울 관객은 티켓값만 고려하면 여러 번 관람 가능하지만 지방 관객은 교통·숙박·식비 때문에 동일한 돈으로 관람 횟수가 줄어든다.”
“관객의 95%, 뮤지컬 전용극장의 90% 이상이 서울·수도권에 집중.”
“서울과 경북의 문화예술 관람 경험률 격차는 13.8%포인트, 이는 취향 차이가 아니라 접근 조건 차이.”
“26년 상반기 수도권 티켓예매수 77.2%, 판매액 81.0% 차지. 지방은 부산, 대구, 대전 순으로 많지만 성장률은 광주·대전·강원에서 50% 이상.”</t>
  </si>
  <si>
    <t>② 그 출처 (어디서 · 몇 건)</t>
  </si>
  <si>
    <t>디시인사이드, 브런치 북, 유튜브 (개인 발언)
서울경제 (기사)
학술 연구 (서울과 지역뮤지컬 관객의 만족도 구성요인에 관한 연구)
국민 문화예술 활동 조사 (통계)
KOPIS (공연예매 통계)</t>
  </si>
  <si>
    <t>③ 판매자가 한 말 (원문)</t>
  </si>
  <si>
    <t>“누적 관람객 108만 명, 유료 객석 점유율 73.2%” (예울마루 운영사 발표)
“2026년 1월 24~25일, R석 17만, S석 14만, A석 11만 원” (공연티켓 안내)
“객석 점유율 99.4%, 누적 관객 70만 명” 
“부산, 용인, 고양, 군산, 대전, 대구 투어 진행, 전남 없음” (뮤지컬 제작사 발표)</t>
  </si>
  <si>
    <t>④ 그 출처 (누가 · 무엇을 파는 곳)</t>
  </si>
  <si>
    <t>예울마루 운영사 (지역 공연장 운영)
공연티켓 판매처 (좌석별 가격 안내)
뮤지컬 제작·판매 회사 (투어 및 관객 수 발표)</t>
  </si>
  <si>
    <t>⑤ 두 말이 갈라지는 지점</t>
  </si>
  <si>
    <t xml:space="preserve">판매자는 성과와 수치를 말하지만, 방문자는 접근성과 경험의 불평등을 말한다.
</t>
  </si>
  <si>
    <t>⑥ 그래서 이 시장을 이렇게 본다</t>
  </si>
  <si>
    <t>지역 관객의 문화 접근권을 확장 하기위해 지역 맞춤형 공연 기획·투어 확대가 필요하다.</t>
  </si>
  <si>
    <t>두 말이 엇갈리는데 어느 쪽을 근거로 삼아야 하나 — 본 사람 쪽인가?</t>
  </si>
  <si>
    <t>완성 문장 — 자동으로 조립된다</t>
  </si>
  <si>
    <t>실습 ② — 조사 종합 1장</t>
  </si>
  <si>
    <t>★ ④ 「시장 결론」부터 쓴다.  어제 쓴 「시장 한 문장」을 오늘 조사로 «고쳐» 쓰는 칸이다 — 새로 만들지 않는다.  그다음 ①②③으로 그 한 줄을 받친다.  ★ ③은 «못 알아낸 것»을 적는 칸이다 — 전부 «찾았다»로만 채워져 있으면 오히려 의심한다.  ⚠️ 어제 한 줄과 나란히 적어 본다. 둘이 거의 같으면 오늘 조사가 아무것도 안 바꾼 것이다.  ⚠️ 오늘도 기획안은 고치지 않는다 — 조사 주제와 10일차 기획 대상이 다르다. 바꾸는 건 «이 시장을 보는 눈»이다.</t>
  </si>
  <si>
    <t>내용</t>
  </si>
  <si>
    <t>메모</t>
  </si>
  <si>
    <t>★ ④ 시장 결론 (먼저 쓴다)</t>
  </si>
  <si>
    <t xml:space="preserve">판매자는 성과와 수치를 강조하지만 관객은 접근성과 경험의 불평등을 호소한다.
</t>
  </si>
  <si>
    <t>① 무엇을 찾았나</t>
  </si>
  <si>
    <t>판매자(공급자)는 관객 수·점유율·매출 성과를 강조
방문자는 문화 접근성 부족, 비용 부담, 선택권 제한을 호소</t>
  </si>
  <si>
    <t>판매자의 집계일뿐 근거 찾기 어려움?</t>
  </si>
  <si>
    <t>② 어디서 찾았나 (출처)</t>
  </si>
  <si>
    <t xml:space="preserve">예울마루 운영사 발표, 공연티켓 판매처 안내, 뮤지컬 제작·판매 회사 발표 (판매자측)
디시인사이드, 브런치 북, 유튜브 (개인 발언)
서울경제 기사, 학술 연구(서울과 지역뮤지컬 관객 만족도 연구), 국민 문화예술 활동 조사, KOPIS 공연예매 통계 (언론 및 연구 통계)
</t>
  </si>
  <si>
    <t>③ ★ 못 알아낸 것 · 가정인 것</t>
  </si>
  <si>
    <t xml:space="preserve">실제 지방 관객의 구체적 소비 패턴 (몇 회 관람, 어떤 장르 선호 등) 및 수요 규모
</t>
  </si>
  <si>
    <t>알아내지 못 함.</t>
  </si>
  <si>
    <t>★ 다시 읽어 봤나</t>
  </si>
  <si>
    <t>예 - 판매자는 관객 수·점유율·매출 성과를 강조하지만, 지역관객의 문화 접근권 확장을 위해 지역 맞춤형 공연 기획·투어 확대가 필요하다고 본다.</t>
  </si>
  <si>
    <t>실습 ② — 조사 종합 1장   —   작성 예시</t>
  </si>
  <si>
    <t>★ ④가 먼저 쓰여 있고, ①②③이 그걸 받치고 있다. ③에 «짐작»이 그대로 적혀 있는 것도 봐 두자.  ★ ④는 어제 한 줄을 «고쳐 쓴» 것이다 — 새로 만든 문장이 아니다.</t>
  </si>
  <si>
    <t>판매자는 «기술»을 말하지만, 돈은 «사람과 세계관»에서 난다고 본다</t>
  </si>
  <si>
    <t>★ 어제 한 줄 — 「기술이 시장을 키운다」 를 고쳐 쓴 것</t>
  </si>
  <si>
    <t>판매자 글 6건 중 5건이 버추얼을 만들어 파는 회사 글이었다. 본 사람 글에는 «세계관»과 «방송인 매력»이 반복된다</t>
  </si>
  <si>
    <t>양쪽 말이 어긋난다</t>
  </si>
  <si>
    <t>회사 블로그·보도자료 6건(26.05~09) · 유튜브 댓글·커뮤니티 6건 · 전자공시 2곳</t>
  </si>
  <si>
    <t>11일차 「출처 네 조각」</t>
  </si>
  <si>
    <t>못 찾음 — 이 판 전체 매출 규모(자료마다 센 범위가 달랐다)  /  가정: 멤버십이 광고보다 크다 (근거: 공시 2곳만 봄)</t>
  </si>
  <si>
    <t>★ 못 알아낸 것을 적었다</t>
  </si>
  <si>
    <t>예 — 처음엔 «기술 경쟁이 치열하다»라고 썼는데, 읽어 보니 판매자 말을 그대로 옮긴 것이었다</t>
  </si>
  <si>
    <t>입에 붙지 않으면 아직 안 정한 것</t>
  </si>
  <si>
    <t>④를 먼저 쓰라고 했는데, 조사를 다 하기 전에 결론부터 쓰는 게 순서가 뒤바뀐 건 아닌가?</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</si>
</sst>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sz val="9.0"/>
      <color rgb="FF85929A"/>
      <name val="Calibri"/>
      <scheme val="minor"/>
    </font>
    <font>
      <b/>
      <sz val="16.0"/>
      <color rgb="FF223055"/>
      <name val="Calibri"/>
      <scheme val="minor"/>
    </font>
    <font>
      <sz val="10.0"/>
      <color rgb="FF4A4A4A"/>
      <name val="Calibri"/>
      <scheme val="minor"/>
    </font>
    <font>
      <b/>
      <sz val="10.0"/>
      <color rgb="FF223055"/>
      <name val="Calibri"/>
      <scheme val="minor"/>
    </font>
    <font>
      <b/>
      <sz val="11.0"/>
      <color rgb="FF223055"/>
      <name val="Calibri"/>
      <scheme val="minor"/>
    </font>
    <font>
      <b/>
      <sz val="10.0"/>
      <color rgb="FF1A1A1A"/>
      <name val="Calibri"/>
      <scheme val="minor"/>
    </font>
    <font>
      <sz val="11.0"/>
      <color theme="1"/>
      <name val="Calibri"/>
    </font>
    <font>
      <b/>
      <sz val="10.0"/>
      <color rgb="FF85929A"/>
      <name val="Calibri"/>
      <scheme val="minor"/>
    </font>
    <font>
      <u/>
      <color rgb="FF0000FF"/>
    </font>
    <font>
      <b/>
      <sz val="11.0"/>
      <color rgb="FFF66181"/>
      <name val="Calibri"/>
      <scheme val="minor"/>
    </font>
    <font>
      <sz val="11.0"/>
      <color rgb="FF0B0B0B"/>
      <name val="Anthropic-sans"/>
    </font>
    <font>
      <b/>
      <sz val="16.0"/>
      <color rgb="FF906D4F"/>
      <name val="Calibri"/>
      <scheme val="minor"/>
    </font>
    <font>
      <sz val="10.0"/>
      <color rgb="FF906D4F"/>
      <name val="Calibri"/>
      <scheme val="minor"/>
    </font>
    <font>
      <b/>
      <sz val="10.0"/>
      <color rgb="FF906D4F"/>
      <name val="Calibri"/>
      <scheme val="minor"/>
    </font>
    <font>
      <color theme="1"/>
      <name val="Calibri"/>
      <scheme val="minor"/>
    </font>
    <font>
      <sz val="12.0"/>
      <color rgb="FF0D0D0D"/>
      <name val="-apple-system-body"/>
    </font>
    <font>
      <sz val="12.0"/>
      <color rgb="FF0D0D0D"/>
      <name val="Arial"/>
    </font>
    <font>
      <u/>
      <color rgb="FF0000FF"/>
    </font>
    <font>
      <color rgb="FF0D0D0D"/>
      <name val="Arial"/>
    </font>
    <font>
      <u/>
      <color rgb="FF1F1F1F"/>
      <name val="Roboto"/>
    </font>
    <font>
      <color rgb="FF1F1F1F"/>
      <name val="Roboto"/>
    </font>
    <font>
      <sz val="11.0"/>
      <color rgb="FF1D1D1D"/>
      <name val="Arial"/>
    </font>
    <font>
      <sz val="11.0"/>
      <color rgb="FF1C1C1C"/>
      <name val="Arial"/>
    </font>
    <font>
      <b/>
      <sz val="10.0"/>
      <color theme="1"/>
      <name val="Calibri"/>
      <scheme val="minor"/>
    </font>
    <font>
      <sz val="11.0"/>
      <color rgb="FF111111"/>
      <name val="Arial"/>
    </font>
    <font>
      <sz val="11.0"/>
      <color rgb="FF222222"/>
      <name val="Arial"/>
    </font>
    <font>
      <color rgb="FF333333"/>
      <name val="-apple-system"/>
    </font>
    <font>
      <sz val="11.0"/>
      <color rgb="FF0F0F0F"/>
      <name val="Roboto"/>
    </font>
    <font>
      <u/>
      <sz val="11.0"/>
      <color rgb="FF111111"/>
      <name val="Arial"/>
    </font>
    <font>
      <color rgb="FF0F0F0F"/>
      <name val="Roboto"/>
    </font>
    <font>
      <b/>
      <color theme="1"/>
      <name val="Calibri"/>
      <scheme val="minor"/>
    </font>
    <font>
      <b/>
      <sz val="11.0"/>
      <color rgb="FF223055"/>
      <name val="Pretendard"/>
    </font>
    <font>
      <b/>
      <color rgb="FF906D4F"/>
      <name val="Pretendard"/>
    </font>
    <font>
      <color rgb="FF4A4A4A"/>
      <name val="Arial"/>
    </font>
    <font>
      <color rgb="FF4A4A4A"/>
      <name val="Pretendard"/>
    </font>
    <font>
      <b/>
      <sz val="11.0"/>
      <color rgb="FFF66181"/>
      <name val="Pretendard"/>
    </font>
    <font>
      <color rgb="FF906D4F"/>
      <name val="Pretendard"/>
    </font>
    <font/>
    <font>
      <b/>
      <sz val="12.0"/>
      <color rgb="FF223055"/>
      <name val="Pretendard"/>
    </font>
  </fonts>
  <fills count="10">
    <fill>
      <patternFill patternType="none"/>
    </fill>
    <fill>
      <patternFill patternType="lightGray"/>
    </fill>
    <fill>
      <patternFill patternType="solid">
        <fgColor rgb="FFFEEBF1"/>
        <bgColor rgb="FFFEEBF1"/>
      </patternFill>
    </fill>
    <fill>
      <patternFill patternType="solid">
        <fgColor rgb="FFFCFCFB"/>
        <bgColor rgb="FFFCFCFB"/>
      </patternFill>
    </fill>
    <fill>
      <patternFill patternType="solid">
        <fgColor rgb="FFF2E7DC"/>
        <bgColor rgb="FFF2E7DC"/>
      </patternFill>
    </fill>
    <fill>
      <patternFill patternType="solid">
        <fgColor rgb="FFFBF7F3"/>
        <bgColor rgb="FFFBF7F3"/>
      </patternFill>
    </fill>
    <fill>
      <patternFill patternType="solid">
        <fgColor rgb="FFFCFCFC"/>
        <bgColor rgb="FFFCFCFC"/>
      </patternFill>
    </fill>
    <fill>
      <patternFill patternType="solid">
        <fgColor rgb="FFF9F9F9"/>
        <bgColor rgb="FFF9F9F9"/>
      </patternFill>
    </fill>
    <fill>
      <patternFill patternType="solid">
        <fgColor rgb="FFFFFFFF"/>
        <bgColor rgb="FFFFFFFF"/>
      </patternFill>
    </fill>
    <fill>
      <patternFill patternType="solid">
        <fgColor rgb="FFFFF4F8"/>
        <bgColor rgb="FFFFF4F8"/>
      </patternFill>
    </fill>
  </fills>
  <borders count="4">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center" wrapText="1"/>
    </xf>
    <xf borderId="0" fillId="0" fontId="4" numFmtId="0" xfId="0" applyFont="1"/>
    <xf borderId="1" fillId="2" fontId="5" numFmtId="0" xfId="0" applyAlignment="1" applyBorder="1" applyFill="1" applyFont="1">
      <alignment horizontal="center" shrinkToFit="0" vertical="center" wrapText="1"/>
    </xf>
    <xf borderId="1" fillId="0" fontId="6"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2" fontId="8" numFmtId="0" xfId="0" applyAlignment="1" applyBorder="1" applyFill="1" applyFont="1">
      <alignment shrinkToFit="0" vertical="top" wrapText="1"/>
    </xf>
    <xf borderId="1" fillId="2" fontId="7" numFmtId="0" xfId="0" applyAlignment="1" applyBorder="1" applyFill="1" applyFont="1">
      <alignment shrinkToFit="0" vertical="top" wrapText="1"/>
    </xf>
    <xf borderId="0" fillId="0" fontId="9" numFmtId="0" xfId="0" applyAlignment="1" applyFont="1">
      <alignment readingOrder="0"/>
    </xf>
    <xf borderId="0" fillId="0" fontId="10" numFmtId="0" xfId="0" applyFont="1"/>
    <xf borderId="0" fillId="0" fontId="7" numFmtId="0" xfId="0" applyAlignment="1" applyFont="1">
      <alignment shrinkToFit="0" vertical="top" wrapText="1"/>
    </xf>
    <xf borderId="0" fillId="3" fontId="11" numFmtId="0" xfId="0" applyAlignment="1" applyFill="1" applyFont="1">
      <alignment readingOrder="0"/>
    </xf>
    <xf borderId="0" fillId="0" fontId="12" numFmtId="0" xfId="0" applyFont="1"/>
    <xf borderId="0" fillId="0" fontId="13" numFmtId="0" xfId="0" applyAlignment="1" applyFont="1">
      <alignment shrinkToFit="0" vertical="center" wrapText="1"/>
    </xf>
    <xf borderId="0" fillId="0" fontId="13" numFmtId="0" xfId="0" applyFont="1"/>
    <xf borderId="1" fillId="4" fontId="5" numFmtId="0" xfId="0" applyAlignment="1" applyBorder="1" applyFill="1" applyFont="1">
      <alignment horizontal="center" shrinkToFit="0" vertical="center" wrapText="1"/>
    </xf>
    <xf borderId="1" fillId="0" fontId="14" numFmtId="0" xfId="0" applyAlignment="1" applyBorder="1" applyFont="1">
      <alignment shrinkToFit="0" vertical="top" wrapText="1"/>
    </xf>
    <xf borderId="1" fillId="5" fontId="3" numFmtId="0" xfId="0" applyAlignment="1" applyBorder="1" applyFill="1" applyFont="1">
      <alignment shrinkToFit="0" vertical="top" wrapText="1"/>
    </xf>
    <xf borderId="1" fillId="4" fontId="8" numFmtId="0" xfId="0" applyAlignment="1" applyBorder="1" applyFill="1" applyFont="1">
      <alignment shrinkToFit="0" vertical="top" wrapText="1"/>
    </xf>
    <xf borderId="1" fillId="4" fontId="7" numFmtId="0" xfId="0" applyAlignment="1" applyBorder="1" applyFill="1" applyFont="1">
      <alignment shrinkToFit="0" vertical="top" wrapText="1"/>
    </xf>
    <xf borderId="0" fillId="0" fontId="13" numFmtId="0" xfId="0" applyAlignment="1" applyFont="1">
      <alignment shrinkToFit="0" vertical="top" wrapText="1"/>
    </xf>
    <xf borderId="0" fillId="0" fontId="15" numFmtId="0" xfId="0" applyAlignment="1" applyFont="1">
      <alignment readingOrder="0"/>
    </xf>
    <xf borderId="0" fillId="6" fontId="16" numFmtId="0" xfId="0" applyAlignment="1" applyFill="1" applyFont="1">
      <alignment readingOrder="0"/>
    </xf>
    <xf borderId="0" fillId="6" fontId="17" numFmtId="0" xfId="0" applyAlignment="1" applyFill="1" applyFont="1">
      <alignment readingOrder="0"/>
    </xf>
    <xf borderId="0" fillId="0" fontId="18" numFmtId="0" xfId="0" applyAlignment="1" applyFont="1">
      <alignment readingOrder="0"/>
    </xf>
    <xf borderId="0" fillId="6" fontId="19" numFmtId="0" xfId="0" applyAlignment="1" applyFill="1" applyFont="1">
      <alignment readingOrder="0" shrinkToFit="0" wrapText="0"/>
    </xf>
    <xf borderId="0" fillId="7" fontId="20" numFmtId="0" xfId="0" applyAlignment="1" applyFill="1" applyFont="1">
      <alignment readingOrder="0"/>
    </xf>
    <xf borderId="0" fillId="0" fontId="21" numFmtId="0" xfId="0" applyFont="1"/>
    <xf borderId="0" fillId="0" fontId="22" numFmtId="0" xfId="0" applyAlignment="1" applyFont="1">
      <alignment readingOrder="0"/>
    </xf>
    <xf borderId="0" fillId="0" fontId="23" numFmtId="0" xfId="0" applyAlignment="1" applyFont="1">
      <alignment readingOrder="0"/>
    </xf>
    <xf borderId="0" fillId="0" fontId="24" numFmtId="0" xfId="0" applyFont="1"/>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8" fontId="28" numFmtId="0" xfId="0" applyAlignment="1" applyFill="1" applyFont="1">
      <alignment readingOrder="0"/>
    </xf>
    <xf borderId="0" fillId="8" fontId="29" numFmtId="0" xfId="0" applyAlignment="1" applyFill="1" applyFont="1">
      <alignment readingOrder="0"/>
    </xf>
    <xf borderId="0" fillId="0" fontId="30" numFmtId="0" xfId="0" applyAlignment="1" applyFont="1">
      <alignment readingOrder="0" shrinkToFit="0" wrapText="0"/>
    </xf>
    <xf borderId="0" fillId="0" fontId="31" numFmtId="0" xfId="0" applyAlignment="1" applyFont="1">
      <alignment horizontal="center" readingOrder="0"/>
    </xf>
    <xf borderId="1" fillId="4" fontId="32" numFmtId="0" xfId="0" applyAlignment="1" applyBorder="1" applyFill="1" applyFont="1">
      <alignment horizontal="center" shrinkToFit="0" wrapText="1"/>
    </xf>
    <xf borderId="0" fillId="0" fontId="7" numFmtId="0" xfId="0" applyAlignment="1" applyFont="1">
      <alignment vertical="bottom"/>
    </xf>
    <xf borderId="1" fillId="0" fontId="33" numFmtId="0" xfId="0" applyAlignment="1" applyBorder="1" applyFont="1">
      <alignment shrinkToFit="0" vertical="top" wrapText="1"/>
    </xf>
    <xf borderId="1" fillId="5" fontId="34" numFmtId="0" xfId="0" applyAlignment="1" applyBorder="1" applyFill="1" applyFont="1">
      <alignment readingOrder="0" shrinkToFit="0" vertical="top" wrapText="1"/>
    </xf>
    <xf borderId="1" fillId="5" fontId="35" numFmtId="0" xfId="0" applyAlignment="1" applyBorder="1" applyFill="1" applyFont="1">
      <alignment shrinkToFit="0" vertical="top" wrapText="1"/>
    </xf>
    <xf borderId="0" fillId="0" fontId="36" numFmtId="0" xfId="0" applyAlignment="1" applyFont="1">
      <alignment vertical="bottom"/>
    </xf>
    <xf borderId="2" fillId="0" fontId="37" numFmtId="0" xfId="0" applyAlignment="1" applyBorder="1" applyFont="1">
      <alignment shrinkToFit="0" vertical="top" wrapText="1"/>
    </xf>
    <xf borderId="3" fillId="0" fontId="38" numFmtId="0" xfId="0" applyBorder="1" applyFont="1"/>
    <xf borderId="2" fillId="9" fontId="39" numFmtId="0" xfId="0" applyAlignment="1" applyBorder="1" applyFill="1" applyFont="1">
      <alignment shrinkToFit="0" wrapText="1"/>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50</xdr:row>
      <xdr:rowOff>0</xdr:rowOff>
    </xdr:from>
    <xdr:ext cx="8391525" cy="9715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57</xdr:row>
      <xdr:rowOff>0</xdr:rowOff>
    </xdr:from>
    <xdr:ext cx="11239500" cy="3676650"/>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yeosu.go.kr/tour/culture_festa/month_event?date=2026-09-12" TargetMode="External"/><Relationship Id="rId3" Type="http://schemas.openxmlformats.org/officeDocument/2006/relationships/hyperlink" Target="https://kopis.or.kr/por/cs/notice/csReportListView.do?menuId=MNU_000130&amp;ntt_id=4556&amp;tmpr01=R&amp;orderAscYn=DESC&amp;curPage=1" TargetMode="External"/><Relationship Id="rId4" Type="http://schemas.openxmlformats.org/officeDocument/2006/relationships/hyperlink" Target="https://v.daum.net/v/20260901122042826?f=p" TargetMode="External"/><Relationship Id="rId5" Type="http://schemas.openxmlformats.org/officeDocument/2006/relationships/hyperlink" Target="https://www.law.go.kr/lsSc.do?section=&amp;menuId=1&amp;subMenuId=15&amp;tabMenuId=81&amp;eventGubun=060101&amp;query=%EA%B3%B5%EC%97%B0%EB%B2%95" TargetMode="External"/><Relationship Id="rId6" Type="http://schemas.openxmlformats.org/officeDocument/2006/relationships/hyperlink" Target="https://www.kci.go.kr/kciportal/landing/article.kci?arti_id=ART001486297"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youtube.com/shorts/SaAWaf8z4RE?si=nD0RXwuZPq9P8IhT" TargetMode="External"/><Relationship Id="rId10" Type="http://schemas.openxmlformats.org/officeDocument/2006/relationships/hyperlink" Target="https://gall.dcinside.com/mini/board/view/?id=musicalplay&amp;no=137059&amp;utm_source=chatgpt.com" TargetMode="External"/><Relationship Id="rId13" Type="http://schemas.openxmlformats.org/officeDocument/2006/relationships/hyperlink" Target="https://m.cafe.daum.net/subdued20club/ReHf/4031694?" TargetMode="External"/><Relationship Id="rId12" Type="http://schemas.openxmlformats.org/officeDocument/2006/relationships/hyperlink" Target="https://brunch.co.kr/@kimchaewon/159" TargetMode="External"/><Relationship Id="rId1" Type="http://schemas.openxmlformats.org/officeDocument/2006/relationships/hyperlink" Target="https://mods.go.kr/unifSearch/search.es" TargetMode="External"/><Relationship Id="rId2" Type="http://schemas.openxmlformats.org/officeDocument/2006/relationships/hyperlink" Target="https://www.kci.go.kr/kciportal/landing/article.kci?arti_id=ART003115529&amp;utm_source=chatgpt.com" TargetMode="External"/><Relationship Id="rId3" Type="http://schemas.openxmlformats.org/officeDocument/2006/relationships/hyperlink" Target="https://www.riss.kr/link?id=T16160720" TargetMode="External"/><Relationship Id="rId4" Type="http://schemas.openxmlformats.org/officeDocument/2006/relationships/hyperlink" Target="https://www.riss.kr/link?id=T14576966" TargetMode="External"/><Relationship Id="rId9" Type="http://schemas.openxmlformats.org/officeDocument/2006/relationships/hyperlink" Target="https://www.seoul.co.kr/news/life/culture-news/2019/04/10/20190410029003?utm_source=chatgpt.com" TargetMode="External"/><Relationship Id="rId14" Type="http://schemas.openxmlformats.org/officeDocument/2006/relationships/drawing" Target="../drawings/drawing3.xml"/><Relationship Id="rId5" Type="http://schemas.openxmlformats.org/officeDocument/2006/relationships/hyperlink" Target="https://www.newscj.com/news/articleView.html?idxno=3377295" TargetMode="External"/><Relationship Id="rId6" Type="http://schemas.openxmlformats.org/officeDocument/2006/relationships/hyperlink" Target="https://kopis.or.kr/por/cs/notice/csReportListView.do?menuId=MNU_000130&amp;ntt_id=4556&amp;tmpr01=R&amp;orderAscYn=DESC&amp;curPage=1%22" TargetMode="External"/><Relationship Id="rId7" Type="http://schemas.openxmlformats.org/officeDocument/2006/relationships/hyperlink" Target="https://www.gokams.or.kr/05_know/trends_01.aspx" TargetMode="External"/><Relationship Id="rId8" Type="http://schemas.openxmlformats.org/officeDocument/2006/relationships/hyperlink" Target="https://www.sedaily.com/article/1370694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scaltexmediahub.com/esg/yeulmaru_10years/" TargetMode="External"/><Relationship Id="rId2" Type="http://schemas.openxmlformats.org/officeDocument/2006/relationships/hyperlink" Target="https://www.yeulmaru.org/performance/v/?u=1238" TargetMode="External"/><Relationship Id="rId3" Type="http://schemas.openxmlformats.org/officeDocument/2006/relationships/hyperlink" Target="https://www.yeulmaru.org/performance/v/?u=1170" TargetMode="External"/><Relationship Id="rId4" Type="http://schemas.openxmlformats.org/officeDocument/2006/relationships/hyperlink" Target="https://view.asiae.co.kr/article/2026012315475135148" TargetMode="External"/><Relationship Id="rId5" Type="http://schemas.openxmlformats.org/officeDocument/2006/relationships/hyperlink" Target="https://www.kmib.co.kr/article/view.asp?arcid=0019027416" TargetMode="External"/><Relationship Id="rId6" Type="http://schemas.openxmlformats.org/officeDocument/2006/relationships/hyperlink" Target="https://www.cjenm.com/ko/news/%EC%A0%84-%EC%84%B8%EA%B3%84%EB%A5%BC-%EA%B0%95%ED%83%80%ED%95%9C-%EB%8C%80%EC%9E%91%EB%93%A4%EC%9D%B4-%EB%AA%A8%EC%9D%B8%EB%8B%A4-2025%EB%85%84-%EB%AE%A4%EC%A7%80%EC%BB%AC-%EB%9D%BC%EC%9D%B8%EC%97%85-%EA%B3%B5%EA%B0%9C/"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3055"/>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8.0"/>
    <col customWidth="1" min="2" max="2" width="28.0"/>
    <col customWidth="1" min="3" max="3" width="14.0"/>
    <col customWidth="1" min="4" max="4" width="28.0"/>
    <col customWidth="1" min="5" max="5" width="32.0"/>
    <col customWidth="1" min="6" max="26" width="8.71"/>
  </cols>
  <sheetData>
    <row r="1">
      <c r="A1" s="1" t="s">
        <v>0</v>
      </c>
    </row>
    <row r="2">
      <c r="A2" s="2" t="s">
        <v>1</v>
      </c>
    </row>
    <row r="3" ht="33.75" customHeight="1">
      <c r="A3" s="3" t="s">
        <v>2</v>
      </c>
    </row>
    <row r="5">
      <c r="A5" s="4" t="s">
        <v>3</v>
      </c>
      <c r="C5" s="4" t="s">
        <v>4</v>
      </c>
    </row>
    <row r="7" ht="33.75" customHeight="1">
      <c r="A7" s="5" t="s">
        <v>5</v>
      </c>
      <c r="B7" s="5" t="s">
        <v>6</v>
      </c>
      <c r="C7" s="5" t="s">
        <v>7</v>
      </c>
      <c r="D7" s="5" t="s">
        <v>8</v>
      </c>
      <c r="E7" s="5" t="s">
        <v>9</v>
      </c>
    </row>
    <row r="8" ht="51.75" customHeight="1">
      <c r="A8" s="6" t="s">
        <v>10</v>
      </c>
      <c r="B8" s="7" t="s">
        <v>11</v>
      </c>
      <c r="C8" s="8"/>
      <c r="D8" s="8"/>
      <c r="E8" s="7" t="s">
        <v>12</v>
      </c>
    </row>
    <row r="9" ht="51.75" customHeight="1">
      <c r="A9" s="6" t="s">
        <v>13</v>
      </c>
      <c r="B9" s="7" t="s">
        <v>14</v>
      </c>
      <c r="C9" s="8"/>
      <c r="D9" s="8"/>
      <c r="E9" s="7" t="s">
        <v>15</v>
      </c>
    </row>
    <row r="10" ht="21.75" customHeight="1">
      <c r="A10" s="9" t="s">
        <v>16</v>
      </c>
      <c r="B10" s="10"/>
      <c r="C10" s="10"/>
      <c r="D10" s="10"/>
      <c r="E10" s="10"/>
    </row>
    <row r="11" ht="51.75" customHeight="1">
      <c r="A11" s="6" t="s">
        <v>17</v>
      </c>
      <c r="B11" s="7" t="s">
        <v>18</v>
      </c>
      <c r="C11" s="8"/>
      <c r="D11" s="8"/>
      <c r="E11" s="7" t="s">
        <v>19</v>
      </c>
      <c r="F11" s="11" t="s">
        <v>20</v>
      </c>
    </row>
    <row r="12" ht="91.5" customHeight="1">
      <c r="A12" s="6" t="s">
        <v>21</v>
      </c>
      <c r="B12" s="7" t="s">
        <v>22</v>
      </c>
      <c r="C12" s="8"/>
      <c r="D12" s="8"/>
      <c r="E12" s="7" t="s">
        <v>23</v>
      </c>
      <c r="F12" s="11" t="s">
        <v>24</v>
      </c>
    </row>
    <row r="13" ht="51.75" customHeight="1">
      <c r="A13" s="6" t="s">
        <v>25</v>
      </c>
      <c r="B13" s="7" t="s">
        <v>26</v>
      </c>
      <c r="C13" s="8"/>
      <c r="D13" s="8"/>
      <c r="E13" s="7" t="s">
        <v>27</v>
      </c>
      <c r="F13" s="11" t="s">
        <v>28</v>
      </c>
    </row>
    <row r="14" ht="120.0" customHeight="1">
      <c r="A14" s="6" t="s">
        <v>29</v>
      </c>
      <c r="B14" s="7" t="s">
        <v>30</v>
      </c>
      <c r="C14" s="8"/>
      <c r="D14" s="8"/>
      <c r="E14" s="7" t="s">
        <v>31</v>
      </c>
      <c r="F14" s="11" t="s">
        <v>32</v>
      </c>
    </row>
    <row r="15" ht="51.75" customHeight="1">
      <c r="A15" s="6" t="s">
        <v>33</v>
      </c>
      <c r="B15" s="7" t="s">
        <v>34</v>
      </c>
      <c r="C15" s="8"/>
      <c r="D15" s="8"/>
      <c r="E15" s="7" t="s">
        <v>35</v>
      </c>
      <c r="F15" s="11" t="s">
        <v>36</v>
      </c>
    </row>
    <row r="17">
      <c r="A17" s="12" t="s">
        <v>37</v>
      </c>
    </row>
    <row r="18" ht="54.0" customHeight="1">
      <c r="A18" s="13"/>
      <c r="F18"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E3"/>
    <mergeCell ref="A18:E18"/>
  </mergeCells>
  <hyperlinks>
    <hyperlink r:id="rId2" ref="F11"/>
    <hyperlink r:id="rId3" ref="F12"/>
    <hyperlink r:id="rId4" ref="F13"/>
    <hyperlink r:id="rId5" location="undefined" ref="F14"/>
    <hyperlink r:id="rId6" ref="F15"/>
  </hyperlinks>
  <printOptions/>
  <pageMargins bottom="0.4" footer="0.0" header="0.0" left="0.3" right="0.3" top="0.4"/>
  <pageSetup paperSize="9"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8.0"/>
    <col customWidth="1" min="2" max="2" width="28.0"/>
    <col customWidth="1" min="3" max="3" width="14.0"/>
    <col customWidth="1" min="4" max="4" width="28.0"/>
    <col customWidth="1" min="5" max="5" width="32.0"/>
    <col customWidth="1" min="6" max="26" width="8.71"/>
  </cols>
  <sheetData>
    <row r="1">
      <c r="A1" s="1" t="s">
        <v>0</v>
      </c>
    </row>
    <row r="2">
      <c r="A2" s="15" t="s">
        <v>38</v>
      </c>
    </row>
    <row r="3" ht="33.75" customHeight="1">
      <c r="A3" s="16" t="s">
        <v>39</v>
      </c>
    </row>
    <row r="5">
      <c r="A5" s="4" t="s">
        <v>3</v>
      </c>
      <c r="B5" s="17" t="s">
        <v>40</v>
      </c>
      <c r="C5" s="4" t="s">
        <v>4</v>
      </c>
      <c r="D5" s="17" t="s">
        <v>41</v>
      </c>
    </row>
    <row r="7" ht="33.75" customHeight="1">
      <c r="A7" s="18" t="s">
        <v>5</v>
      </c>
      <c r="B7" s="18" t="s">
        <v>6</v>
      </c>
      <c r="C7" s="18" t="s">
        <v>7</v>
      </c>
      <c r="D7" s="18" t="s">
        <v>8</v>
      </c>
      <c r="E7" s="18" t="s">
        <v>9</v>
      </c>
    </row>
    <row r="8" ht="51.75" customHeight="1">
      <c r="A8" s="19" t="s">
        <v>10</v>
      </c>
      <c r="B8" s="20" t="s">
        <v>42</v>
      </c>
      <c r="C8" s="20"/>
      <c r="D8" s="20"/>
      <c r="E8" s="20" t="s">
        <v>43</v>
      </c>
    </row>
    <row r="9" ht="51.75" customHeight="1">
      <c r="A9" s="19" t="s">
        <v>13</v>
      </c>
      <c r="B9" s="20" t="s">
        <v>44</v>
      </c>
      <c r="C9" s="20"/>
      <c r="D9" s="20"/>
      <c r="E9" s="20" t="s">
        <v>45</v>
      </c>
    </row>
    <row r="10" ht="21.75" customHeight="1">
      <c r="A10" s="21" t="s">
        <v>16</v>
      </c>
      <c r="B10" s="22"/>
      <c r="C10" s="22"/>
      <c r="D10" s="22"/>
      <c r="E10" s="22"/>
    </row>
    <row r="11" ht="51.75" customHeight="1">
      <c r="A11" s="19" t="s">
        <v>17</v>
      </c>
      <c r="B11" s="20" t="s">
        <v>46</v>
      </c>
      <c r="C11" s="20" t="s">
        <v>47</v>
      </c>
      <c r="D11" s="20" t="s">
        <v>48</v>
      </c>
      <c r="E11" s="20" t="s">
        <v>49</v>
      </c>
    </row>
    <row r="12" ht="51.75" customHeight="1">
      <c r="A12" s="19" t="s">
        <v>21</v>
      </c>
      <c r="B12" s="20" t="s">
        <v>50</v>
      </c>
      <c r="C12" s="20" t="s">
        <v>47</v>
      </c>
      <c r="D12" s="20" t="s">
        <v>48</v>
      </c>
      <c r="E12" s="20" t="s">
        <v>51</v>
      </c>
    </row>
    <row r="13" ht="51.75" customHeight="1">
      <c r="A13" s="19" t="s">
        <v>25</v>
      </c>
      <c r="B13" s="20" t="s">
        <v>52</v>
      </c>
      <c r="C13" s="20" t="s">
        <v>53</v>
      </c>
      <c r="D13" s="20" t="s">
        <v>54</v>
      </c>
      <c r="E13" s="20" t="s">
        <v>55</v>
      </c>
    </row>
    <row r="14" ht="51.75" customHeight="1">
      <c r="A14" s="19" t="s">
        <v>29</v>
      </c>
      <c r="B14" s="20" t="s">
        <v>56</v>
      </c>
      <c r="C14" s="20" t="s">
        <v>47</v>
      </c>
      <c r="D14" s="20" t="s">
        <v>48</v>
      </c>
      <c r="E14" s="20" t="s">
        <v>57</v>
      </c>
    </row>
    <row r="15" ht="51.75" customHeight="1">
      <c r="A15" s="19" t="s">
        <v>33</v>
      </c>
      <c r="B15" s="20" t="s">
        <v>58</v>
      </c>
      <c r="C15" s="20" t="s">
        <v>47</v>
      </c>
      <c r="D15" s="20" t="s">
        <v>48</v>
      </c>
      <c r="E15" s="20" t="s">
        <v>59</v>
      </c>
    </row>
    <row r="17">
      <c r="A17" s="12" t="s">
        <v>37</v>
      </c>
    </row>
    <row r="18" ht="54.0" customHeight="1">
      <c r="A18" s="23" t="s">
        <v>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E3"/>
    <mergeCell ref="A18:E18"/>
  </mergeCells>
  <printOptions/>
  <pageMargins bottom="0.4" footer="0.0" header="0.0" left="0.3" right="0.3" top="0.4"/>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61</v>
      </c>
    </row>
    <row r="2">
      <c r="A2" s="24" t="s">
        <v>62</v>
      </c>
      <c r="B2" s="24" t="s">
        <v>63</v>
      </c>
      <c r="C2" s="24" t="s">
        <v>64</v>
      </c>
      <c r="D2" s="24" t="s">
        <v>65</v>
      </c>
    </row>
    <row r="3">
      <c r="A3" s="24">
        <v>2009.0</v>
      </c>
      <c r="B3" s="24" t="s">
        <v>66</v>
      </c>
      <c r="C3" s="24" t="s">
        <v>67</v>
      </c>
      <c r="D3" s="24" t="s">
        <v>68</v>
      </c>
    </row>
    <row r="4">
      <c r="A4" s="24">
        <v>2019.0</v>
      </c>
      <c r="B4" s="24" t="s">
        <v>69</v>
      </c>
      <c r="C4" s="24" t="s">
        <v>70</v>
      </c>
      <c r="D4" s="24" t="s">
        <v>66</v>
      </c>
    </row>
    <row r="5">
      <c r="A5" s="24">
        <v>2021.0</v>
      </c>
      <c r="B5" s="24" t="s">
        <v>71</v>
      </c>
      <c r="C5" s="24" t="s">
        <v>72</v>
      </c>
      <c r="D5" s="24" t="s">
        <v>73</v>
      </c>
    </row>
    <row r="6">
      <c r="A6" s="25" t="s">
        <v>74</v>
      </c>
    </row>
    <row r="7">
      <c r="A7" s="26" t="s">
        <v>75</v>
      </c>
    </row>
    <row r="8">
      <c r="A8" s="27" t="s">
        <v>76</v>
      </c>
    </row>
    <row r="10">
      <c r="A10" s="24" t="s">
        <v>77</v>
      </c>
    </row>
    <row r="11" ht="18.75" customHeight="1">
      <c r="A11" s="28" t="s">
        <v>78</v>
      </c>
    </row>
    <row r="12">
      <c r="A12" s="25" t="s">
        <v>79</v>
      </c>
    </row>
    <row r="13">
      <c r="A13" s="11" t="s">
        <v>80</v>
      </c>
    </row>
    <row r="15">
      <c r="A15" s="24" t="s">
        <v>81</v>
      </c>
    </row>
    <row r="16">
      <c r="A16" s="24" t="s">
        <v>82</v>
      </c>
    </row>
    <row r="17">
      <c r="A17" s="29" t="s">
        <v>83</v>
      </c>
    </row>
    <row r="18">
      <c r="A18" s="30"/>
    </row>
    <row r="19">
      <c r="A19" s="31" t="s">
        <v>84</v>
      </c>
    </row>
    <row r="20">
      <c r="A20" s="26" t="s">
        <v>85</v>
      </c>
    </row>
    <row r="21">
      <c r="A21" s="27" t="s">
        <v>86</v>
      </c>
    </row>
    <row r="23">
      <c r="A23" s="24" t="s">
        <v>87</v>
      </c>
    </row>
    <row r="24">
      <c r="A24" s="11" t="s">
        <v>88</v>
      </c>
    </row>
    <row r="26">
      <c r="A26" s="24" t="s">
        <v>89</v>
      </c>
    </row>
    <row r="27">
      <c r="A27" s="24" t="s">
        <v>90</v>
      </c>
    </row>
    <row r="28">
      <c r="A28" s="24" t="s">
        <v>91</v>
      </c>
    </row>
    <row r="29">
      <c r="A29" s="27" t="s">
        <v>92</v>
      </c>
    </row>
    <row r="30">
      <c r="A30" s="27" t="s">
        <v>93</v>
      </c>
    </row>
    <row r="32">
      <c r="A32" s="32" t="s">
        <v>94</v>
      </c>
      <c r="B32" s="33"/>
      <c r="C32" s="33"/>
      <c r="D32" s="33"/>
      <c r="E32" s="33"/>
      <c r="F32" s="33"/>
      <c r="G32" s="33"/>
      <c r="H32" s="33"/>
      <c r="I32" s="33"/>
      <c r="J32" s="33"/>
    </row>
    <row r="33">
      <c r="A33" s="25" t="s">
        <v>95</v>
      </c>
    </row>
    <row r="34">
      <c r="A34" s="25" t="s">
        <v>96</v>
      </c>
    </row>
    <row r="35">
      <c r="A35" s="27" t="s">
        <v>97</v>
      </c>
    </row>
    <row r="37">
      <c r="A37" s="34" t="s">
        <v>98</v>
      </c>
    </row>
    <row r="38">
      <c r="A38" s="25" t="s">
        <v>99</v>
      </c>
    </row>
    <row r="39">
      <c r="A39" s="27" t="s">
        <v>100</v>
      </c>
    </row>
    <row r="41">
      <c r="A41" s="24" t="s">
        <v>101</v>
      </c>
    </row>
    <row r="42">
      <c r="A42" s="35" t="s">
        <v>102</v>
      </c>
    </row>
    <row r="43">
      <c r="A43" s="36" t="s">
        <v>103</v>
      </c>
    </row>
    <row r="44">
      <c r="A44" s="36" t="s">
        <v>104</v>
      </c>
    </row>
    <row r="45">
      <c r="A45" s="27" t="s">
        <v>105</v>
      </c>
    </row>
    <row r="47">
      <c r="A47" s="37" t="s">
        <v>106</v>
      </c>
      <c r="G47" s="24" t="s">
        <v>107</v>
      </c>
    </row>
    <row r="48">
      <c r="A48" s="38" t="s">
        <v>108</v>
      </c>
    </row>
    <row r="49">
      <c r="A49" s="39"/>
    </row>
    <row r="50">
      <c r="A50" s="24" t="s">
        <v>109</v>
      </c>
    </row>
    <row r="56">
      <c r="A56" s="27" t="s">
        <v>110</v>
      </c>
    </row>
    <row r="77">
      <c r="A77" s="27" t="s">
        <v>111</v>
      </c>
    </row>
  </sheetData>
  <hyperlinks>
    <hyperlink r:id="rId1" ref="A8"/>
    <hyperlink r:id="rId2" ref="A13"/>
    <hyperlink r:id="rId3" ref="A17"/>
    <hyperlink r:id="rId4" ref="A21"/>
    <hyperlink r:id="rId5" ref="A24"/>
    <hyperlink r:id="rId6" ref="A29"/>
    <hyperlink r:id="rId7" ref="A30"/>
    <hyperlink r:id="rId8" ref="A35"/>
    <hyperlink r:id="rId9" ref="A39"/>
    <hyperlink r:id="rId10" ref="A45"/>
    <hyperlink r:id="rId11" ref="A48"/>
    <hyperlink r:id="rId12" ref="A56"/>
    <hyperlink r:id="rId13" ref="A77"/>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6.86"/>
    <col customWidth="1" min="3" max="3" width="60.57"/>
    <col customWidth="1" min="4" max="4" width="44.86"/>
    <col customWidth="1" min="5" max="5" width="150.86"/>
    <col customWidth="1" min="6" max="6" width="21.14"/>
  </cols>
  <sheetData>
    <row r="1">
      <c r="A1" s="40" t="s">
        <v>112</v>
      </c>
      <c r="B1" s="40" t="s">
        <v>113</v>
      </c>
      <c r="C1" s="40" t="s">
        <v>114</v>
      </c>
      <c r="D1" s="40" t="s">
        <v>115</v>
      </c>
      <c r="E1" s="40" t="s">
        <v>116</v>
      </c>
    </row>
    <row r="2">
      <c r="A2" s="24">
        <v>1.0</v>
      </c>
      <c r="B2" s="27" t="s">
        <v>117</v>
      </c>
      <c r="C2" s="24" t="s">
        <v>118</v>
      </c>
      <c r="D2" s="24" t="s">
        <v>119</v>
      </c>
      <c r="E2" s="24" t="s">
        <v>120</v>
      </c>
      <c r="F2" s="24" t="s">
        <v>17</v>
      </c>
    </row>
    <row r="3">
      <c r="A3" s="24">
        <v>2.0</v>
      </c>
      <c r="B3" s="27" t="s">
        <v>121</v>
      </c>
      <c r="C3" s="24" t="s">
        <v>122</v>
      </c>
      <c r="D3" s="24" t="s">
        <v>123</v>
      </c>
      <c r="E3" s="24" t="s">
        <v>124</v>
      </c>
      <c r="F3" s="24" t="s">
        <v>125</v>
      </c>
    </row>
    <row r="4">
      <c r="A4" s="24">
        <v>3.0</v>
      </c>
      <c r="B4" s="27" t="s">
        <v>126</v>
      </c>
      <c r="C4" s="24" t="s">
        <v>122</v>
      </c>
      <c r="D4" s="24" t="s">
        <v>123</v>
      </c>
      <c r="E4" s="24" t="s">
        <v>127</v>
      </c>
      <c r="F4" s="24" t="s">
        <v>125</v>
      </c>
    </row>
    <row r="5">
      <c r="A5" s="24">
        <v>4.0</v>
      </c>
      <c r="B5" s="27" t="s">
        <v>128</v>
      </c>
      <c r="C5" s="24" t="s">
        <v>129</v>
      </c>
      <c r="D5" s="24" t="s">
        <v>130</v>
      </c>
      <c r="E5" s="24" t="s">
        <v>131</v>
      </c>
      <c r="F5" s="24" t="s">
        <v>132</v>
      </c>
    </row>
    <row r="6">
      <c r="A6" s="24">
        <v>5.0</v>
      </c>
      <c r="B6" s="27" t="s">
        <v>133</v>
      </c>
      <c r="C6" s="24" t="s">
        <v>134</v>
      </c>
      <c r="D6" s="24" t="s">
        <v>135</v>
      </c>
      <c r="E6" s="24" t="s">
        <v>136</v>
      </c>
      <c r="F6" s="24" t="s">
        <v>137</v>
      </c>
    </row>
    <row r="7">
      <c r="A7" s="24">
        <v>6.0</v>
      </c>
      <c r="B7" s="27" t="s">
        <v>138</v>
      </c>
      <c r="C7" s="24" t="s">
        <v>139</v>
      </c>
      <c r="D7" s="24" t="s">
        <v>140</v>
      </c>
      <c r="E7" s="24" t="s">
        <v>141</v>
      </c>
      <c r="F7" s="24" t="s">
        <v>142</v>
      </c>
    </row>
  </sheetData>
  <hyperlinks>
    <hyperlink r:id="rId1" ref="B2"/>
    <hyperlink r:id="rId2" ref="B3"/>
    <hyperlink r:id="rId3" ref="B4"/>
    <hyperlink r:id="rId4" ref="B5"/>
    <hyperlink r:id="rId5" ref="B6"/>
    <hyperlink r:id="rId6" ref="B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86"/>
    <col customWidth="1" min="2" max="2" width="44.57"/>
    <col customWidth="1" min="3" max="3" width="98.0"/>
  </cols>
  <sheetData>
    <row r="1">
      <c r="A1" s="41" t="s">
        <v>143</v>
      </c>
      <c r="B1" s="41" t="s">
        <v>144</v>
      </c>
      <c r="C1" s="41" t="s">
        <v>145</v>
      </c>
      <c r="D1" s="42"/>
      <c r="E1" s="42"/>
      <c r="F1" s="42"/>
      <c r="G1" s="42"/>
      <c r="H1" s="42"/>
      <c r="I1" s="42"/>
      <c r="J1" s="42"/>
      <c r="K1" s="42"/>
      <c r="L1" s="42"/>
      <c r="M1" s="42"/>
      <c r="N1" s="42"/>
      <c r="O1" s="42"/>
      <c r="P1" s="42"/>
      <c r="Q1" s="42"/>
      <c r="R1" s="42"/>
      <c r="S1" s="42"/>
      <c r="T1" s="42"/>
      <c r="U1" s="42"/>
      <c r="V1" s="42"/>
      <c r="W1" s="42"/>
      <c r="X1" s="42"/>
      <c r="Y1" s="42"/>
      <c r="Z1" s="42"/>
    </row>
    <row r="2" ht="390.0" customHeight="1">
      <c r="A2" s="43" t="s">
        <v>146</v>
      </c>
      <c r="B2" s="44" t="s">
        <v>147</v>
      </c>
      <c r="C2" s="44" t="s">
        <v>148</v>
      </c>
      <c r="D2" s="42"/>
      <c r="E2" s="42"/>
      <c r="F2" s="42"/>
      <c r="G2" s="42"/>
      <c r="H2" s="42"/>
      <c r="I2" s="42"/>
      <c r="J2" s="42"/>
      <c r="K2" s="42"/>
      <c r="L2" s="42"/>
      <c r="M2" s="42"/>
      <c r="N2" s="42"/>
      <c r="O2" s="42"/>
      <c r="P2" s="42"/>
      <c r="Q2" s="42"/>
      <c r="R2" s="42"/>
      <c r="S2" s="42"/>
      <c r="T2" s="42"/>
      <c r="U2" s="42"/>
      <c r="V2" s="42"/>
      <c r="W2" s="42"/>
      <c r="X2" s="42"/>
      <c r="Y2" s="42"/>
      <c r="Z2" s="42"/>
    </row>
    <row r="3" ht="168.0" customHeight="1">
      <c r="A3" s="43" t="s">
        <v>149</v>
      </c>
      <c r="B3" s="45" t="s">
        <v>150</v>
      </c>
      <c r="C3" s="44" t="s">
        <v>151</v>
      </c>
      <c r="D3" s="42"/>
      <c r="E3" s="42"/>
      <c r="F3" s="42"/>
      <c r="G3" s="42"/>
      <c r="H3" s="42"/>
      <c r="I3" s="42"/>
      <c r="J3" s="42"/>
      <c r="K3" s="42"/>
      <c r="L3" s="42"/>
      <c r="M3" s="42"/>
      <c r="N3" s="42"/>
      <c r="O3" s="42"/>
      <c r="P3" s="42"/>
      <c r="Q3" s="42"/>
      <c r="R3" s="42"/>
      <c r="S3" s="42"/>
      <c r="T3" s="42"/>
      <c r="U3" s="42"/>
      <c r="V3" s="42"/>
      <c r="W3" s="42"/>
      <c r="X3" s="42"/>
      <c r="Y3" s="42"/>
      <c r="Z3" s="42"/>
    </row>
    <row r="4" ht="84.0" customHeight="1">
      <c r="A4" s="43" t="s">
        <v>152</v>
      </c>
      <c r="B4" s="45" t="s">
        <v>153</v>
      </c>
      <c r="C4" s="44" t="s">
        <v>154</v>
      </c>
      <c r="D4" s="42"/>
      <c r="E4" s="42"/>
      <c r="F4" s="42"/>
      <c r="G4" s="42"/>
      <c r="H4" s="42"/>
      <c r="I4" s="42"/>
      <c r="J4" s="42"/>
      <c r="K4" s="42"/>
      <c r="L4" s="42"/>
      <c r="M4" s="42"/>
      <c r="N4" s="42"/>
      <c r="O4" s="42"/>
      <c r="P4" s="42"/>
      <c r="Q4" s="42"/>
      <c r="R4" s="42"/>
      <c r="S4" s="42"/>
      <c r="T4" s="42"/>
      <c r="U4" s="42"/>
      <c r="V4" s="42"/>
      <c r="W4" s="42"/>
      <c r="X4" s="42"/>
      <c r="Y4" s="42"/>
      <c r="Z4"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71"/>
    <col customWidth="1" min="2" max="2" width="99.57"/>
  </cols>
  <sheetData>
    <row r="1">
      <c r="A1" s="41" t="s">
        <v>155</v>
      </c>
      <c r="B1" s="41" t="s">
        <v>156</v>
      </c>
      <c r="C1" s="42"/>
      <c r="D1" s="42"/>
      <c r="E1" s="42"/>
      <c r="F1" s="42"/>
      <c r="G1" s="42"/>
      <c r="H1" s="42"/>
      <c r="I1" s="42"/>
      <c r="J1" s="42"/>
      <c r="K1" s="42"/>
      <c r="L1" s="42"/>
      <c r="M1" s="42"/>
      <c r="N1" s="42"/>
      <c r="O1" s="42"/>
      <c r="P1" s="42"/>
      <c r="Q1" s="42"/>
      <c r="R1" s="42"/>
      <c r="S1" s="42"/>
      <c r="T1" s="42"/>
      <c r="U1" s="42"/>
      <c r="V1" s="42"/>
      <c r="W1" s="42"/>
      <c r="X1" s="42"/>
      <c r="Y1" s="42"/>
      <c r="Z1" s="42"/>
    </row>
    <row r="2">
      <c r="A2" s="43" t="s">
        <v>157</v>
      </c>
      <c r="B2" s="44" t="s">
        <v>158</v>
      </c>
      <c r="C2" s="42"/>
      <c r="D2" s="42"/>
      <c r="E2" s="42"/>
      <c r="F2" s="42"/>
      <c r="G2" s="42"/>
      <c r="H2" s="42"/>
      <c r="I2" s="42"/>
      <c r="J2" s="42"/>
      <c r="K2" s="42"/>
      <c r="L2" s="42"/>
      <c r="M2" s="42"/>
      <c r="N2" s="42"/>
      <c r="O2" s="42"/>
      <c r="P2" s="42"/>
      <c r="Q2" s="42"/>
      <c r="R2" s="42"/>
      <c r="S2" s="42"/>
      <c r="T2" s="42"/>
      <c r="U2" s="42"/>
      <c r="V2" s="42"/>
      <c r="W2" s="42"/>
      <c r="X2" s="42"/>
      <c r="Y2" s="42"/>
      <c r="Z2" s="42"/>
    </row>
    <row r="3">
      <c r="A3" s="43" t="s">
        <v>159</v>
      </c>
      <c r="B3" s="44" t="s">
        <v>160</v>
      </c>
      <c r="C3" s="42"/>
      <c r="D3" s="42"/>
      <c r="E3" s="42"/>
      <c r="F3" s="42"/>
      <c r="G3" s="42"/>
      <c r="H3" s="42"/>
      <c r="I3" s="42"/>
      <c r="J3" s="42"/>
      <c r="K3" s="42"/>
      <c r="L3" s="42"/>
      <c r="M3" s="42"/>
      <c r="N3" s="42"/>
      <c r="O3" s="42"/>
      <c r="P3" s="42"/>
      <c r="Q3" s="42"/>
      <c r="R3" s="42"/>
      <c r="S3" s="42"/>
      <c r="T3" s="42"/>
      <c r="U3" s="42"/>
      <c r="V3" s="42"/>
      <c r="W3" s="42"/>
      <c r="X3" s="42"/>
      <c r="Y3" s="42"/>
      <c r="Z3" s="42"/>
    </row>
    <row r="4">
      <c r="A4" s="43" t="s">
        <v>161</v>
      </c>
      <c r="B4" s="44" t="s">
        <v>162</v>
      </c>
      <c r="C4" s="42"/>
      <c r="D4" s="42"/>
      <c r="E4" s="42"/>
      <c r="F4" s="42"/>
      <c r="G4" s="42"/>
      <c r="H4" s="42"/>
      <c r="I4" s="42"/>
      <c r="J4" s="42"/>
      <c r="K4" s="42"/>
      <c r="L4" s="42"/>
      <c r="M4" s="42"/>
      <c r="N4" s="42"/>
      <c r="O4" s="42"/>
      <c r="P4" s="42"/>
      <c r="Q4" s="42"/>
      <c r="R4" s="42"/>
      <c r="S4" s="42"/>
      <c r="T4" s="42"/>
      <c r="U4" s="42"/>
      <c r="V4" s="42"/>
      <c r="W4" s="42"/>
      <c r="X4" s="42"/>
      <c r="Y4" s="42"/>
      <c r="Z4" s="42"/>
    </row>
    <row r="5">
      <c r="A5" s="43" t="s">
        <v>163</v>
      </c>
      <c r="B5" s="44" t="s">
        <v>164</v>
      </c>
      <c r="C5" s="42"/>
      <c r="D5" s="42"/>
      <c r="E5" s="42"/>
      <c r="F5" s="42"/>
      <c r="G5" s="42"/>
      <c r="H5" s="42"/>
      <c r="I5" s="42"/>
      <c r="J5" s="42"/>
      <c r="K5" s="42"/>
      <c r="L5" s="42"/>
      <c r="M5" s="42"/>
      <c r="N5" s="42"/>
      <c r="O5" s="42"/>
      <c r="P5" s="42"/>
      <c r="Q5" s="42"/>
      <c r="R5" s="42"/>
      <c r="S5" s="42"/>
      <c r="T5" s="42"/>
      <c r="U5" s="42"/>
      <c r="V5" s="42"/>
      <c r="W5" s="42"/>
      <c r="X5" s="42"/>
      <c r="Y5" s="42"/>
      <c r="Z5" s="42"/>
    </row>
    <row r="6" ht="23.25" customHeight="1">
      <c r="A6" s="43" t="s">
        <v>165</v>
      </c>
      <c r="B6" s="44" t="s">
        <v>166</v>
      </c>
      <c r="C6" s="42"/>
      <c r="D6" s="42"/>
      <c r="E6" s="42"/>
      <c r="F6" s="42"/>
      <c r="G6" s="42"/>
      <c r="H6" s="42"/>
      <c r="I6" s="42"/>
      <c r="J6" s="42"/>
      <c r="K6" s="42"/>
      <c r="L6" s="42"/>
      <c r="M6" s="42"/>
      <c r="N6" s="42"/>
      <c r="O6" s="42"/>
      <c r="P6" s="42"/>
      <c r="Q6" s="42"/>
      <c r="R6" s="42"/>
      <c r="S6" s="42"/>
      <c r="T6" s="42"/>
      <c r="U6" s="42"/>
      <c r="V6" s="42"/>
      <c r="W6" s="42"/>
      <c r="X6" s="42"/>
      <c r="Y6" s="42"/>
      <c r="Z6" s="42"/>
    </row>
    <row r="7">
      <c r="A7" s="43" t="s">
        <v>167</v>
      </c>
      <c r="B7" s="44" t="s">
        <v>168</v>
      </c>
      <c r="C7" s="42"/>
      <c r="D7" s="42"/>
      <c r="E7" s="42"/>
      <c r="F7" s="42"/>
      <c r="G7" s="42"/>
      <c r="H7" s="42"/>
      <c r="I7" s="42"/>
      <c r="J7" s="42"/>
      <c r="K7" s="42"/>
      <c r="L7" s="42"/>
      <c r="M7" s="42"/>
      <c r="N7" s="42"/>
      <c r="O7" s="42"/>
      <c r="P7" s="42"/>
      <c r="Q7" s="42"/>
      <c r="R7" s="42"/>
      <c r="S7" s="42"/>
      <c r="T7" s="42"/>
      <c r="U7" s="42"/>
      <c r="V7" s="42"/>
      <c r="W7" s="42"/>
      <c r="X7" s="42"/>
      <c r="Y7" s="42"/>
      <c r="Z7" s="42"/>
    </row>
    <row r="8">
      <c r="A8" s="42"/>
      <c r="B8" s="42"/>
      <c r="C8" s="42"/>
      <c r="D8" s="42"/>
      <c r="E8" s="42"/>
      <c r="F8" s="42"/>
      <c r="G8" s="42"/>
      <c r="H8" s="42"/>
      <c r="I8" s="42"/>
      <c r="J8" s="42"/>
      <c r="K8" s="42"/>
      <c r="L8" s="42"/>
      <c r="M8" s="42"/>
      <c r="N8" s="42"/>
      <c r="O8" s="42"/>
      <c r="P8" s="42"/>
      <c r="Q8" s="42"/>
      <c r="R8" s="42"/>
      <c r="S8" s="42"/>
      <c r="T8" s="42"/>
      <c r="U8" s="42"/>
      <c r="V8" s="42"/>
      <c r="W8" s="42"/>
      <c r="X8" s="42"/>
      <c r="Y8" s="42"/>
      <c r="Z8" s="42"/>
    </row>
    <row r="9">
      <c r="A9" s="46" t="s">
        <v>37</v>
      </c>
      <c r="B9" s="42"/>
      <c r="C9" s="42"/>
      <c r="D9" s="42"/>
      <c r="E9" s="42"/>
      <c r="F9" s="42"/>
      <c r="G9" s="42"/>
      <c r="H9" s="42"/>
      <c r="I9" s="42"/>
      <c r="J9" s="42"/>
      <c r="K9" s="42"/>
      <c r="L9" s="42"/>
      <c r="M9" s="42"/>
      <c r="N9" s="42"/>
      <c r="O9" s="42"/>
      <c r="P9" s="42"/>
      <c r="Q9" s="42"/>
      <c r="R9" s="42"/>
      <c r="S9" s="42"/>
      <c r="T9" s="42"/>
      <c r="U9" s="42"/>
      <c r="V9" s="42"/>
      <c r="W9" s="42"/>
      <c r="X9" s="42"/>
      <c r="Y9" s="42"/>
      <c r="Z9" s="42"/>
    </row>
    <row r="10">
      <c r="A10" s="47" t="s">
        <v>169</v>
      </c>
      <c r="B10" s="48"/>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6" t="s">
        <v>170</v>
      </c>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9" t="str">
        <f>IF(COUNTA(B2:B7)&lt;6,"— 위 여섯 칸을 다 채우면 여기에 문장이 만들어진다","판매자는 "&amp;B4&amp;" 라고 말한다(출처: "&amp;B5&amp;"). 본 사람들은 "&amp;B2&amp;" 라고 말한다(출처: "&amp;B3&amp;"). 두 말은 "&amp;B6&amp;" 에서 갈라진다.   그래서 나는 이 시장을 "&amp;B7&amp;" 라고 본다.")</f>
        <v>판매자는 “누적 관람객 108만 명, 유료 객석 점유율 73.2%” (예울마루 운영사 발표)
“2026년 1월 24~25일, R석 17만, S석 14만, A석 11만 원” (공연티켓 안내)
“객석 점유율 99.4%, 누적 관객 70만 명” 
“부산, 용인, 고양, 군산, 대전, 대구 투어 진행, 전남 없음” (뮤지컬 제작사 발표) 라고 말한다(출처: 예울마루 운영사 (지역 공연장 운영)
공연티켓 판매처 (좌석별 가격 안내)
뮤지컬 제작·판매 회사 (투어 및 관객 수 발표)). 본 사람들은 “지방러 뉴비야. 서울 살고 싶다 생각했지만 요즘은 관극 때문에 더 서울 살고 싶어져.”
“지방 사람도 문화생활 하고 싶다. 공연이나 전시가 있으면 종류 안 가리고 가보는 게 아니라, 여러 공연 중 보고 싶은 걸 골라보고 싶다. 취향을 찾고 싶다. 지방러는 문화생활에 목마르다.”
“헐 생각해보니 문화생활 좋아하는 지방러들은 그렇네… 난 서울 사는데도 공연 관심 없어서 차이를 못 느꼈어.”
“한 편 보는 데 50만 원, 지방 ‘뮤덕’은 오늘도 달린다.”
“서울 관객은 티켓값만 고려하면 여러 번 관람 가능하지만 지방 관객은 교통·숙박·식비 때문에 동일한 돈으로 관람 횟수가 줄어든다.”
“관객의 95%, 뮤지컬 전용극장의 90% 이상이 서울·수도권에 집중.”
“서울과 경북의 문화예술 관람 경험률 격차는 13.8%포인트, 이는 취향 차이가 아니라 접근 조건 차이.”
“26년 상반기 수도권 티켓예매수 77.2%, 판매액 81.0% 차지. 지방은 부산, 대구, 대전 순으로 많지만 성장률은 광주·대전·강원에서 50% 이상.” 라고 말한다(출처: 디시인사이드, 브런치 북, 유튜브 (개인 발언)
서울경제 (기사)
학술 연구 (서울과 지역뮤지컬 관객의 만족도 구성요인에 관한 연구)
국민 문화예술 활동 조사 (통계)
KOPIS (공연예매 통계)). 두 말은 판매자는 성과와 수치를 말하지만, 방문자는 접근성과 경험의 불평등을 말한다.
 에서 갈라진다.   그래서 나는 이 시장을 지역 관객의 문화 접근권을 확장 하기위해 지역 맞춤형 공연 기획·투어 확대가 필요하다. 라고 본다.</v>
      </c>
      <c r="B12" s="48"/>
      <c r="C12" s="42"/>
      <c r="D12" s="42"/>
      <c r="E12" s="42"/>
      <c r="F12" s="42"/>
      <c r="G12" s="42"/>
      <c r="H12" s="42"/>
      <c r="I12" s="42"/>
      <c r="J12" s="42"/>
      <c r="K12" s="42"/>
      <c r="L12" s="42"/>
      <c r="M12" s="42"/>
      <c r="N12" s="42"/>
      <c r="O12" s="42"/>
      <c r="P12" s="42"/>
      <c r="Q12" s="42"/>
      <c r="R12" s="42"/>
      <c r="S12" s="42"/>
      <c r="T12" s="42"/>
      <c r="U12" s="42"/>
      <c r="V12" s="42"/>
      <c r="W12" s="42"/>
      <c r="X12" s="42"/>
      <c r="Y12" s="42"/>
      <c r="Z12" s="42"/>
    </row>
  </sheetData>
  <mergeCells count="2">
    <mergeCell ref="A10:B10"/>
    <mergeCell ref="A12:B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3055"/>
    <pageSetUpPr fitToPage="1"/>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24.0"/>
    <col customWidth="1" min="2" max="2" width="56.0"/>
    <col customWidth="1" min="3" max="3" width="34.0"/>
    <col customWidth="1" min="4" max="26" width="8.71"/>
  </cols>
  <sheetData>
    <row r="1">
      <c r="A1" s="1" t="s">
        <v>0</v>
      </c>
    </row>
    <row r="2">
      <c r="A2" s="2" t="s">
        <v>171</v>
      </c>
    </row>
    <row r="3" ht="61.5" customHeight="1">
      <c r="A3" s="3" t="s">
        <v>172</v>
      </c>
    </row>
    <row r="5">
      <c r="A5" s="4" t="s">
        <v>3</v>
      </c>
    </row>
    <row r="6">
      <c r="A6" s="4" t="s">
        <v>4</v>
      </c>
    </row>
    <row r="8" ht="33.75" customHeight="1">
      <c r="A8" s="5" t="s">
        <v>155</v>
      </c>
      <c r="B8" s="5" t="s">
        <v>173</v>
      </c>
      <c r="C8" s="5" t="s">
        <v>174</v>
      </c>
    </row>
    <row r="9" ht="51.75" customHeight="1">
      <c r="A9" s="6" t="s">
        <v>175</v>
      </c>
      <c r="B9" s="7" t="s">
        <v>176</v>
      </c>
      <c r="C9" s="7" t="s">
        <v>168</v>
      </c>
      <c r="D9" s="24"/>
    </row>
    <row r="10">
      <c r="A10" s="6" t="s">
        <v>177</v>
      </c>
      <c r="B10" s="7" t="s">
        <v>178</v>
      </c>
      <c r="C10" s="7" t="s">
        <v>179</v>
      </c>
    </row>
    <row r="11" ht="132.75" customHeight="1">
      <c r="A11" s="6" t="s">
        <v>180</v>
      </c>
      <c r="B11" s="50" t="s">
        <v>181</v>
      </c>
      <c r="C11" s="50"/>
    </row>
    <row r="12" ht="37.5" customHeight="1">
      <c r="A12" s="6" t="s">
        <v>182</v>
      </c>
      <c r="B12" s="7" t="s">
        <v>183</v>
      </c>
      <c r="C12" s="7" t="s">
        <v>184</v>
      </c>
    </row>
    <row r="13" ht="51.75" customHeight="1">
      <c r="A13" s="6" t="s">
        <v>185</v>
      </c>
      <c r="B13" s="7" t="s">
        <v>186</v>
      </c>
      <c r="C13" s="8"/>
    </row>
    <row r="15">
      <c r="A15" s="12" t="s">
        <v>37</v>
      </c>
    </row>
    <row r="16" ht="54.0" customHeight="1">
      <c r="A16"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C3"/>
    <mergeCell ref="A16:C16"/>
  </mergeCells>
  <printOptions/>
  <pageMargins bottom="0.4" footer="0.0" header="0.0" left="0.3" right="0.3" top="0.4"/>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24.0"/>
    <col customWidth="1" min="2" max="2" width="56.0"/>
    <col customWidth="1" min="3" max="3" width="34.0"/>
    <col customWidth="1" min="4" max="26" width="8.71"/>
  </cols>
  <sheetData>
    <row r="1">
      <c r="A1" s="1" t="s">
        <v>0</v>
      </c>
    </row>
    <row r="2">
      <c r="A2" s="15" t="s">
        <v>187</v>
      </c>
    </row>
    <row r="3" ht="33.75" customHeight="1">
      <c r="A3" s="16" t="s">
        <v>188</v>
      </c>
    </row>
    <row r="5">
      <c r="A5" s="4" t="s">
        <v>3</v>
      </c>
      <c r="B5" s="17" t="s">
        <v>40</v>
      </c>
    </row>
    <row r="6">
      <c r="A6" s="4" t="s">
        <v>4</v>
      </c>
      <c r="B6" s="17" t="s">
        <v>41</v>
      </c>
    </row>
    <row r="8" ht="33.75" customHeight="1">
      <c r="A8" s="18" t="s">
        <v>155</v>
      </c>
      <c r="B8" s="18" t="s">
        <v>173</v>
      </c>
      <c r="C8" s="18" t="s">
        <v>174</v>
      </c>
    </row>
    <row r="9" ht="51.75" customHeight="1">
      <c r="A9" s="19" t="s">
        <v>175</v>
      </c>
      <c r="B9" s="20" t="s">
        <v>189</v>
      </c>
      <c r="C9" s="20" t="s">
        <v>190</v>
      </c>
    </row>
    <row r="10" ht="51.75" customHeight="1">
      <c r="A10" s="19" t="s">
        <v>177</v>
      </c>
      <c r="B10" s="20" t="s">
        <v>191</v>
      </c>
      <c r="C10" s="20" t="s">
        <v>192</v>
      </c>
    </row>
    <row r="11" ht="51.75" customHeight="1">
      <c r="A11" s="19" t="s">
        <v>180</v>
      </c>
      <c r="B11" s="20" t="s">
        <v>193</v>
      </c>
      <c r="C11" s="20" t="s">
        <v>194</v>
      </c>
    </row>
    <row r="12" ht="51.75" customHeight="1">
      <c r="A12" s="19" t="s">
        <v>182</v>
      </c>
      <c r="B12" s="20" t="s">
        <v>195</v>
      </c>
      <c r="C12" s="20" t="s">
        <v>196</v>
      </c>
    </row>
    <row r="13" ht="51.75" customHeight="1">
      <c r="A13" s="19" t="s">
        <v>185</v>
      </c>
      <c r="B13" s="20" t="s">
        <v>197</v>
      </c>
      <c r="C13" s="20" t="s">
        <v>198</v>
      </c>
    </row>
    <row r="15">
      <c r="A15" s="12" t="s">
        <v>37</v>
      </c>
    </row>
    <row r="16" ht="54.0" customHeight="1">
      <c r="A16" s="23"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C3"/>
    <mergeCell ref="A16:C16"/>
  </mergeCells>
  <printOptions/>
  <pageMargins bottom="0.4" footer="0.0" header="0.0" left="0.3" right="0.3" top="0.4"/>
  <pageSetup paperSize="9" orientation="landscape"/>
  <drawing r:id="rId1"/>
</worksheet>
</file>