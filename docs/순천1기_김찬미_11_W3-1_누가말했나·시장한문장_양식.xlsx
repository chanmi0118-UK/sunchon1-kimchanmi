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내가 짐작한 대로" sheetId="1" r:id="rId5"/>
    <sheet state="visible" name="0 내가 짐작한 대로 예시" sheetId="2" r:id="rId6"/>
    <sheet state="visible" name="1 판매자가 쓴 글" sheetId="3" r:id="rId7"/>
    <sheet state="visible" name="1 판매자가 쓴 글 예시" sheetId="4" r:id="rId8"/>
    <sheet state="visible" name="2 방문자가 쓴 글" sheetId="5" r:id="rId9"/>
    <sheet state="visible" name="2 방문자가 쓴 글 예시" sheetId="6" r:id="rId10"/>
    <sheet state="visible" name="2-1 짐작 대조" sheetId="7" r:id="rId11"/>
    <sheet state="visible" name="2-1 짐작 대조 예시" sheetId="8" r:id="rId12"/>
    <sheet state="visible" name="3 세 바구니 (3C)" sheetId="9" r:id="rId13"/>
    <sheet state="visible" name="3 세 바구니 (3C) 예시" sheetId="10" r:id="rId14"/>
    <sheet state="visible" name="4 시장 한 문장" sheetId="11" r:id="rId15"/>
    <sheet state="visible" name="4 시장 한 문장 예시" sheetId="12" r:id="rId16"/>
    <sheet state="visible" name="4 시장 한 문장 예시의 사본"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tc={5a2deedd-5e67-40a1-a29e-dd4ba771efa1}</author>
  </authors>
  <commentList>
    <comment authorId="0" xr:uid="{5a2deedd-5e67-40a1-a29e-dd4ba771efa1}" ref="F4">
      <text>
        <t xml:space="preserve">[Threaded comment]
 Your version of Excel allows you to read this threaded comment; however, any edits to it will get removed if the file is opened in a newer version of Excel. Learn more: https://go.microsoft.com/fwlink/?linkid=870924
Comment:
	여기에는 세부적인 실제 숫자를 넣어주세요
</t>
      </text>
    </comment>
  </commentList>
</comments>
</file>

<file path=xl/sharedStrings.xml><?xml version="1.0" encoding="utf-8"?>
<sst xmlns="http://schemas.openxmlformats.org/spreadsheetml/2006/main" count="493" uniqueCount="270">
  <si>
    <t>K-POP 이머시브 콘텐츠 기획자 양성과정 · 1기   ·   11일차 W3-1 (9/22 화)   ·   STUDIO 1 팬경험 설계실</t>
  </si>
  <si>
    <t>실습 ① — 판매자가 쓴 글을 찾아온다 (3교시 12:00~12:50 · 최소 6건)</t>
  </si>
  <si>
    <t>실습 0 — 찾기 전에 지금 짐작을 적는다 (2교시 11:40~11:50 · 8분)</t>
  </si>
  <si>
    <t>아직 검색하지 않는다. 지금 아는 대로만 적는다.   ·   모르는 줄은 비워 두지 말고 '모름'이라고 쓴다.   ·   여섯 줄을 다 적으면 여기서 손을 뗀다. 오후에 찾아본 뒤에도 고치지 않는다 — 고치면 내가 얼마나 달랐는지 알 수 없다.   ·   ⚠️ 틀려도 된다. 오늘은 맞히는 날이 아니다.</t>
  </si>
  <si>
    <t>어디서 — 구글에 「버추얼 아이돌」 「버추얼 휴먼 시장」 을 친다. 맨 위에 나온 글부터 차례로 연다.   ·   글 하나에 한 줄씩 적는다 — 제목 / 누가 썼나 / 그 곳이 무엇을 파나 / 숫자가 있으면 그 숫자를 누가 쟀나.   ·   ⚠️ 오늘 제일 중요한 칸은 '누가 썼나'다. 글 맨 아래 '회사 소개 · 문의하기' 버튼을 누르면 나온다.   ·   ★ 판매자 글을 버리라는 게 아니다. 사양 · 가격 · 일정 같은 «사실»은 쓰고, '업계 최초' · '혁신적' 같은 «평가»는 버린다.   ·   ⚠️ 아티스트 이름은 적지 않는다. 오늘 조사 단위는 «회사와 시장»이다.</t>
  </si>
  <si>
    <t>번호</t>
  </si>
  <si>
    <t>글 제목</t>
  </si>
  <si>
    <t>글쓴이 — 누구인가</t>
  </si>
  <si>
    <t>무엇을 파는 곳인가</t>
  </si>
  <si>
    <t>짐작할 것</t>
  </si>
  <si>
    <t>숫자가 나오나</t>
  </si>
  <si>
    <t>내 짐작 한 줄</t>
  </si>
  <si>
    <t>나온 숫자 — 그리고 그 숫자를 누가 말했나</t>
  </si>
  <si>
    <t>얼마나 확실한가</t>
  </si>
  <si>
    <t>링크</t>
  </si>
  <si>
    <t>1</t>
  </si>
  <si>
    <t>실습 0 — 찾기 전에 지금 짐작을 적는다 (2교시 11:40~11:50 · 8분)   —   작성 예시</t>
  </si>
  <si>
    <t>국내 버추얼 엔터 관련 글은 주로 누가 쓸까</t>
  </si>
  <si>
    <t>플레이브의 '빌보드 200' 진출… 
K팝의 미래가 된 버추얼 아이돌</t>
  </si>
  <si>
    <t>김상열 음악학박사·칼럼니스트
(arte 칼럼/연재)</t>
  </si>
  <si>
    <t>실습 ① — 판매자가 쓴 글을 찾아온다 (3교시 12:00~12:50 · 최소 6건)   —   작성 예시</t>
  </si>
  <si>
    <t>솔직하게 적은 예다. '모름'이 하나 있고 '긴가민가'가 넷이다 — 이게 정상이다. 오후에 이 여섯 줄과 찾아온 것을 나란히 놓는다.</t>
  </si>
  <si>
    <t>소속사와 연계된 기자가 적을 것 같다.</t>
  </si>
  <si>
    <t>버추얼 아이돌과 K-pop 산업의 이동</t>
  </si>
  <si>
    <t>여섯 건 중 다섯 건을 버추얼을 만들어 파는 회사가 썼고, 그중 둘은 같은 회사다. 숫자가 나온 두 건 중 하나는 낸 곳이 파는 회사 자신이고, 다른 하나는 «무엇을 센 숫자인지»가 안 적혀 있다. ★ 유일하게 파는 곳이 아닌 자료는 공시였다.</t>
  </si>
  <si>
    <t>버추얼 휴먼 시장, 어디까지 왔나</t>
  </si>
  <si>
    <t>안 나온다</t>
  </si>
  <si>
    <t>https://www.arte.co.kr/music/theme/125</t>
  </si>
  <si>
    <t>기자나 마케터가 쓸 것 같다</t>
  </si>
  <si>
    <t>긴가민가</t>
  </si>
  <si>
    <t>2</t>
  </si>
  <si>
    <t>그 글에 숫자가 나올까</t>
  </si>
  <si>
    <t>나오지 않을 것 같다. 홍보성이 중요하기 때문에</t>
  </si>
  <si>
    <t>3</t>
  </si>
  <si>
    <t>본 사람 글에 '기술' 이야기가 몇 건이나 나올까</t>
  </si>
  <si>
    <t>나올 것 같다. 버츄얼 관련 홍보를 해야하므로.</t>
  </si>
  <si>
    <t>4</t>
  </si>
  <si>
    <t>본 사람 글에서 가장 많이 나올 말은</t>
  </si>
  <si>
    <t>버츄얼 아이돌의 어떤 특징이 있는지 주로 나올 것 같다.
팬층을 끌어 당겨야하므로.</t>
  </si>
  <si>
    <t>5</t>
  </si>
  <si>
    <t>이 판에서 돈은 주로 어디서 날까</t>
  </si>
  <si>
    <t>여러나라의 팬층의 소비와 광고</t>
  </si>
  <si>
    <t>6</t>
  </si>
  <si>
    <t>이 시장은 큰가, 작은가</t>
  </si>
  <si>
    <t>작다. 버츄얼 아이돌이 많이 발전했지만, 일부 특정 팬덤이 클뿐 아직은 아티스트 역량이 더 크기때문에</t>
  </si>
  <si>
    <t>질문 카드 (막힌 점·헷갈리는 점 한 가지 이상)</t>
  </si>
  <si>
    <t>○○스튜디오 (회사 블로그)</t>
  </si>
  <si>
    <t>버추얼 휴먼 제작·판매</t>
  </si>
  <si>
    <t>나온다</t>
  </si>
  <si>
    <t>'시장 연 40% 성장' — 낸 곳이 이 회사 자신이다</t>
  </si>
  <si>
    <t>버추얼 아이돌이 바꾸는 팬덤 경험</t>
  </si>
  <si>
    <t>△△랩스 (회사 블로그)</t>
  </si>
  <si>
    <t>실시간 모션캡처 솔루션</t>
  </si>
  <si>
    <t>자사 기술 소개만 있다</t>
  </si>
  <si>
    <t>버추얼 IP 사업 전망 리포트</t>
  </si>
  <si>
    <t>○○스튜디오 (같은 회사)</t>
  </si>
  <si>
    <t>나올 것 같다. 시장 규모 정도</t>
  </si>
  <si>
    <t>'2030년 ○조 원' — 무엇을 센 숫자인지 안 적혀 있다</t>
  </si>
  <si>
    <t>업계 최초 실시간 버추얼 공연 성공</t>
  </si>
  <si>
    <t>□□미디어 (보도자료)</t>
  </si>
  <si>
    <t>절반 정도는 나올 것 같다</t>
  </si>
  <si>
    <t>버추얼 공연 제작</t>
  </si>
  <si>
    <t>'업계 최초' · '혁신적' 같은 평가가 대부분</t>
  </si>
  <si>
    <t>버추얼 크리에이터 수익 구조 분석</t>
  </si>
  <si>
    <t>'신기하다' 아니면 '어색하다'</t>
  </si>
  <si>
    <t>위○○ (마케팅 대행사 블로그)</t>
  </si>
  <si>
    <t>버추얼 IP 마케팅 대행</t>
  </si>
  <si>
    <t>다 적었는지 확인 — 여기서 손을 뗀다</t>
  </si>
  <si>
    <t>출처 없이 '대부분 광고 수익'이라고만 적혀 있다</t>
  </si>
  <si>
    <t>광고랑 음원</t>
  </si>
  <si>
    <t>확실함</t>
  </si>
  <si>
    <t>버추얼 엔터 기업 3분기 실적 공시</t>
  </si>
  <si>
    <t>전자공시(DART)</t>
  </si>
  <si>
    <t>공시 — 파는 곳 아님</t>
  </si>
  <si>
    <t>여섯 줄을 다 적었는가</t>
  </si>
  <si>
    <t>큰 것 같다</t>
  </si>
  <si>
    <t>모름</t>
  </si>
  <si>
    <t>★ 유일하게 판매자가 아닌 자료다. 매출 구성이 그대로 있다</t>
  </si>
  <si>
    <t>7</t>
  </si>
  <si>
    <t>8</t>
  </si>
  <si>
    <t>여섯 줄 중 셋이 '긴가민가'다 — 대충은 안다고 생각했는데 막상 적으니 안 나온다. 이게 정상인가?</t>
  </si>
  <si>
    <t>판매자 글밖에 안 나오는데, 그러면 시장 규모는 어디서 확인하나?</t>
  </si>
  <si>
    <t>지금 내 상태</t>
  </si>
  <si>
    <t>버추얼 아이돌이라는 신세계</t>
  </si>
  <si>
    <t>김윤아 대중음악 평론가
(한국 국제 교류 재단)</t>
  </si>
  <si>
    <t>버추얼 아이돌이라는 새로운 엔터 트렌드 소개</t>
  </si>
  <si>
    <t xml:space="preserve">버추얼 아이돌의 성과 지표-출처없이 적혀 있음
2023년 12월 28일, 국내 크라우드 펀딩 플랫폼인 텀블벅에서는 이세계아이돌 관련 웹툰 ‘마법소녀 이세계아이돌’ 단행본 펀딩이 진행됐다. 목표 금액은 2천만 원이었다. 펀딩이 시작된 지 24시간 만에 25억 원이 모였고, 한 달 뒤 최종 모금액 41억 9,889만 원을 달성했다. </t>
  </si>
  <si>
    <t>https://koreana.or.kr/koreana/na/ntt/selectNttInfo.do?nttSn=125691&amp;bbsId=1119</t>
  </si>
  <si>
    <t>케이팝을 이끌어갈 버추얼 아이돌의 세계</t>
  </si>
  <si>
    <t>율리 에디터 ( ANTIEGG)</t>
  </si>
  <si>
    <t>버추얼 아이돌의 성과지표-플랫폼 조회수
넷마블과 카카오가 제작에 참여한 걸그룹 ‘MAVE:(메이브)’가 지난해 11월 발매한 신곡 ‘What’s My Name’은 뮤직비디오 조회 수 1,000만회를 돌파했습니다. 데뷔곡으로 스포티파이에서 누적 스트리밍 4,500만회를 기록한 전도유망한 버추얼 아이돌다운 기록이었죠.</t>
  </si>
  <si>
    <t>https://antiegg.kr/20642/</t>
  </si>
  <si>
    <t>빌보드 뚫은 가상 아이돌, K팝 새 축 됐다…
자본도 2세대에 베팅</t>
  </si>
  <si>
    <t>안호준 기자 (이슈인사이트)</t>
  </si>
  <si>
    <t xml:space="preserve">버추얼 아이돌 시장 </t>
  </si>
  <si>
    <t>버추얼 아이돌 시장 규모- 출처가 나오지 않음.</t>
  </si>
  <si>
    <t>https://www.issueinsight.co.kr/news/articleView.html?idxno=2948</t>
  </si>
  <si>
    <t>K-팝 버추얼 아이돌, 음악산업의 새로운 가능성</t>
  </si>
  <si>
    <t>성미경, 이재원
(한국 콘텐츠 진흥원)</t>
  </si>
  <si>
    <t>K-팝 버추얼 아이돌 산업의 성장을 위한 과제 및 정책 방향을 제시</t>
  </si>
  <si>
    <t>버추얼 아이돌 시장 전망-Verified Market Research (2025.8).
음악산업 범주 안에서 K-팝 버추얼 아이돌 산업은 2023년에 본격적으로 시작되었다고 볼 수 있고 2024년 성과가 
나타나기 시작함. &lt;버츄얼 아이돌 시장 규모와 전망(Virtual Idol Market Size And Market)&gt;(2025.8.)에 따르면, 
글로벌 버추얼 아이돌 시장은 2024년 약 10억 9천만 달러(약 1조 6천억 원) 수준에서 2031년까지 약 122억 7천만 
달러(약 18조 원)로 성장할 것으로 전망되며 동일 기간 연평균복합성장률(CAGR)은 35.8%를 보일 것으로 전망함.</t>
  </si>
  <si>
    <t>https://www.kocca.kr/kocca/bbs/view/B0000141/2011413.do?menuNo=204145#</t>
  </si>
  <si>
    <t>K-버추얼 아이돌의 세계</t>
  </si>
  <si>
    <t>김유나 ( 한국 콘텐츠 진흥원)</t>
  </si>
  <si>
    <r>
      <rPr>
        <rFont val="Calibri"/>
        <b/>
        <color theme="1"/>
        <sz val="10.0"/>
      </rPr>
      <t>버추얼 아이돌의 대중</t>
    </r>
    <r>
      <rPr>
        <rFont val="Calibri"/>
        <b/>
        <color theme="1"/>
        <sz val="10.0"/>
      </rPr>
      <t>화</t>
    </r>
  </si>
  <si>
    <t>https://www.kocca.kr/trend/vol36/sub/s21.html</t>
  </si>
  <si>
    <t>중국 콘텐츠산업의 미래, 버추얼 휴먼과 가상 아이돌</t>
  </si>
  <si>
    <t>윤호진 (한국 콘텐츠 진흥원)</t>
  </si>
  <si>
    <t>중국 버추얼 아이돌 시장구조 및 발전과정</t>
  </si>
  <si>
    <t>중국 가상아이돌 산업시장 규모-출처 나오지 않음.</t>
  </si>
  <si>
    <t>https://www.kocca.kr/kocca/bbs/view/B0158950/2003962.do?menuNo=204160#</t>
  </si>
  <si>
    <t>실습 ② — 본 사람이 쓴 글을 찾아온다 (7교시 16:00~16:30 · 최소 6건)</t>
  </si>
  <si>
    <t>어디서 — 유튜브 영상 댓글과 커뮤니티 글을 본다. 「버추얼 아이돌 후기」 로도 쳐 본다.   ·   본 사람이 한 말을 그 사람 말 그대로 옮긴다. 줄이거나 바꾸지 않는다.   ·   그 말에 «기술» 이야기(그래픽 · 모션 · AI 같은 말)가 있으면 O, 없으면 X.   ·   ⚠️ X만 줄줄이 나와도 괜찮다. 그게 오늘 찾는 것이다.   ·   사람 이름 · 아이디 · 연락처가 보이는 건 쓰지 않는다. 아티스트 이름도 적지 않는다.</t>
  </si>
  <si>
    <t>영상·글 제목</t>
  </si>
  <si>
    <t>본 사람이 한 말 — 원문 그대로</t>
  </si>
  <si>
    <t>「기술」 이야기가 나오나</t>
  </si>
  <si>
    <t>어디서</t>
  </si>
  <si>
    <t>PLAVE (플레이브) – 버추얼 아이돌 | 쇼! 음악중심 in JAPAN | MBC240717방송</t>
  </si>
  <si>
    <t>쇼츠뜨는걸로 간간히 보다가 오늘부터 영상 정주행 시작한 일반인인데. 
일반 아이돌과 다르게 일단 보컬에 구멍 한 명도 없고. 댄스실력도 다들 나쁘지 않음. 
모션센서로 하는거라 버추얼모델로 보여주려면 액션을 매번 110%이상으로 움직여야 100%정도로 샘플링이 될텐데. 
그것도 매번 라이브로 저정도 댄스랑 보컬보여주는건 범상치 않은 애들이라는걸 알겠음.</t>
  </si>
  <si>
    <t>O</t>
  </si>
  <si>
    <t>자동 집계 — 찾으면 바로 뜬다</t>
  </si>
  <si>
    <t>몇 건이나 찾았는가</t>
  </si>
  <si>
    <t>유튜브 댓글</t>
  </si>
  <si>
    <t>https://www.youtube.com/watch?v=sJTIs3Ba1ig&amp;list=RDsJTIs3Ba1ig&amp;start_radio=1</t>
  </si>
  <si>
    <t>실습 ② — 본 사람이 쓴 글을 찾아온다 (7교시 16:00~16:30 · 최소 6건)   —   작성 예시</t>
  </si>
  <si>
    <t>★ 여섯 건 중 «기술» 이야기는 1건뿐이다. 본 사람들은 기술을 말하지 않는다 — 세계관 · 방송인 매력 · 굿즈를 말한다. 판매자 시트와 나란히 놓으면 겹치는 단어가 거의 없다. 그 차이가 오늘의 발견이다.</t>
  </si>
  <si>
    <t>실습 ② 뒷부분 — 아침에 적은 짐작과 맞춰 본다 (7교시 16:30~16:50)</t>
  </si>
  <si>
    <t>아침에 적은 짐작이 왼쪽에 저절로 뜬다. 손대지 않는다.   ·   오른쪽 두 칸만 채운다 — 찾아보니 어땠나 / 짐작과 같았나 달랐나.   ·   고르는 법은 쉽다. 아침에 '절반쯤 나올 것'이라 했는데 0건이면 '달랐다'. 얼추 맞으면 '같았다'. 아직 못 찾았으면 '못 찾음'.   ·   ⚠️ 맞히는 시험이 아니다. 달랐다가 4줄이면, 안 찾아봤으면 기획서에 틀린 말이 4개 들어갔을 뻔했다는 뜻이다.</t>
  </si>
  <si>
    <t>짐작할 것 (자동)</t>
  </si>
  <si>
    <t>아침에 내가 적은 짐작 (자동)</t>
  </si>
  <si>
    <t>★ 글쓴이 칸이 다 찼는가 (오늘의 핵심)</t>
  </si>
  <si>
    <t>찾아보니 어땠나</t>
  </si>
  <si>
    <t>같았나 달랐나</t>
  </si>
  <si>
    <t>가상 이미지 뒤에 사람 있다…'버추얼 아이돌' 뜬다
 / 연합뉴스TV (YonhapnewsTV)</t>
  </si>
  <si>
    <t>대다수의 언론들과는 다르게 뒤에 사람이 있다는 사실을 밝혔다는 점에서 버츄얼 아이돌의 개념을 어느정도 이해하시고 기사를 내보낸게 느껴지네요 감사합니다 근데 인공지능이랑은 연관 없어요 ㅋㅋㅋㅋㅋㅋㅋ 모션캡쳐, 트래커, vrchat, 유니티, 언리얼, 블렌더같은 프로그램이나 장비로 진행되는 컨텐츠입니다</t>
  </si>
  <si>
    <t>버추얼 아이돌 첫 방송 봤는데</t>
  </si>
  <si>
    <t>https://www.youtube.com/watch?v=NDjDzvfoSXk</t>
  </si>
  <si>
    <t>"목소리는 좋은데 움직임이 좀 어색"</t>
  </si>
  <si>
    <t>버추얼 공연 다녀온 후기</t>
  </si>
  <si>
    <t>"굿즈 줄이 너무 길었다"</t>
  </si>
  <si>
    <t>X</t>
  </si>
  <si>
    <t>커뮤니티 글</t>
  </si>
  <si>
    <t>이 캐릭터 왜 좋아하는지 써 봄</t>
  </si>
  <si>
    <t>"세계관이 촘촘해서 계속 보게 된다"</t>
  </si>
  <si>
    <t>블로그</t>
  </si>
  <si>
    <t>숫자를 적었으면 출처도 적었는가</t>
  </si>
  <si>
    <t>버추얼 방송 요즘 어때?</t>
  </si>
  <si>
    <t>"결국 사람이 하는 거라 방송인 매력이 크다"</t>
  </si>
  <si>
    <t>멤버십 결제하는 이유</t>
  </si>
  <si>
    <t>"이거 말고는 돈 쓸 데가 마땅히 없어서"</t>
  </si>
  <si>
    <t>「기술」로 검색해 본 결과</t>
  </si>
  <si>
    <t>기술을 말한 글은 1건뿐이었다</t>
  </si>
  <si>
    <t>유튜브 — 검색어를 바꿔도 같다</t>
  </si>
  <si>
    <t xml:space="preserve">
230923 플레이브 (PLAVE) 아돌라 콘서트 무대 FULL 
(여섯 번째 여름, 왜요 왜요 왜?) @IDOL RADIO LIVE IN SEOUL</t>
  </si>
  <si>
    <t>소속사에서 배포한 기사도 있지만 콘텐츠 관련 기관에서도 연구하고 적는다는 것을 알았다.</t>
  </si>
  <si>
    <t>기술력이 이렇게 좋다고...? 다른 장소에서 모션캡쳐 의상입고 춤추면서 라이브하는데 이렇게 현장 처럼 들린다고...? 기술 오진다 진짜</t>
  </si>
  <si>
    <t>본 사람 글에 기술 이야기가 거의 없는데, 그러면 기술은 중요하지 않은 건가?</t>
  </si>
  <si>
    <t>230923 플레이브 (PLAVE) 아돌라 콘서트 무대 FULL (여섯 번째 여름, 왜요 왜요 왜?) @IDOL RADIO LIVE IN SEOUL - YouTube</t>
  </si>
  <si>
    <t>★ 몇 건이 판매자 글인가 (자동)</t>
  </si>
  <si>
    <t>달랐다</t>
  </si>
  <si>
    <t>추후에 더 조사하시면 명확한 결과값이나 이야기를 찾아가실 수 있을거예요</t>
  </si>
  <si>
    <t xml:space="preserve">
'플레이브' 콘서트 내돈내산 솔직후기</t>
  </si>
  <si>
    <t>처음에 가격 얘기하시는 거 보고 오잉 싶었다가 더 보니 이해가 됐어요ㅎㅎ 아이돌 콘서트 자체가 처음이셨으면 그렇게 느끼셨을 수도 있겠네요. 다른 뮤지션들에 비해 아이돌 콘서트는 가격이 정말 센 편이에요. 그래서 플레이브의 규모와 이번 콘서트 규모를 생각하면 티켓 가격은 정말정만 싼 편이라는거....알아주셨으면 좋겠어요ㅠㅠ</t>
  </si>
  <si>
    <t>https://www.youtube.com/watch?v=EaPApSTIto4</t>
  </si>
  <si>
    <t>대부분 버추얼 아이돌 성장 규모 및 시장 지표에 대한 글이 일부 있었다.</t>
  </si>
  <si>
    <t>버추얼 아이돌 기술에 관련은 주로 뉴스나 관련 콘텐츠에서 일부 다루는 것을 통해 사람들이 알 수 있었다.</t>
  </si>
  <si>
    <t>같았다</t>
  </si>
  <si>
    <t>[인증] 후기) 본인 오늘 플레이브 콘서트 다녀감</t>
  </si>
  <si>
    <t>내 쪽이 4층이라 훤히 다 잘 보였음 전광판이 존나 크더라
콘서트 지리더라 업계 탑임 이유가 있긴함. 구성도 알차고 걍 부내 남 폭죽이랑 화염 효과음 레이저 효과음도 많이 나오고</t>
  </si>
  <si>
    <t>팬들의 응원글이 대부분이였고 극 소수의 글들이 버추얼 아이돌의 특징을 다뤘다.</t>
  </si>
  <si>
    <t>플레이브 디시인사이드</t>
  </si>
  <si>
    <t>https://gall.dcinside.com/mini/board/view/?id=soopstreaming&amp;no=4717484</t>
  </si>
  <si>
    <t>광고보다 음원의 수요가 커지고 팬덤이 확장하면서 소비가 커진 것 같았다.</t>
  </si>
  <si>
    <t>못 찾음</t>
  </si>
  <si>
    <t>지속적인 성장 곡선을 그리고 있다는 것을 알았다.</t>
  </si>
  <si>
    <t xml:space="preserve">
이세계아이돌(ISEGYE IDOL) - RE : WIND 🌐 이세계 페스티벌 2025</t>
  </si>
  <si>
    <t>자동 집계 — 달랐던 줄이 많을수록 오늘 건진 게 많다</t>
  </si>
  <si>
    <t>리와인드는 우리세돌이들이 지금까지 있을수있게 해준 첫 단추이자 가사부터 작곡 뮤비등등 모든것에 이파리뿐만 아니라 팬치(작곡가,작업자등등), 우리세돌이, 왁굳형 왁타버스 모두의 손과 땀이 농도짙게 녹아든 작품이다.
그게 항상 듣고있는 많은 팬치와 이파리를 울리게 만드는것 같음. 사랑해 이세돌!</t>
  </si>
  <si>
    <t>여섯 줄을 다 맞춰 봤는가</t>
  </si>
  <si>
    <t>https://www.youtube.com/watch?v=fZcNvcB6KpI&amp;list=RDfZcNvcB6KpI&amp;start_radio=1</t>
  </si>
  <si>
    <t>★ ① 몇 줄이 달랐나 (자동)</t>
  </si>
  <si>
    <r>
      <rPr>
        <rFont val="Calibri"/>
        <color theme="1"/>
        <sz val="11.0"/>
      </rPr>
      <t xml:space="preserve">
</t>
    </r>
    <r>
      <rPr>
        <rFont val="Calibri"/>
        <color theme="1"/>
        <sz val="8.0"/>
      </rPr>
      <t>[VLF] 이세계아이돌 (ISEGYE IDOL) - Nameless | MBC 버추얼 라이브 페스티벌 with CoupangPlay</t>
    </r>
  </si>
  <si>
    <t>버츄얼+한국아이돌의 느낌을 기가막히게 섞은 환상적인 곡…네임리스</t>
  </si>
  <si>
    <t>★ ② 본 사람 글에 「기술」 이야기가 몇 건 나왔나 (자동)</t>
  </si>
  <si>
    <t>https://www.youtube.com/watch?v=OktRB0ptdyo&amp;list=RDOktRB0ptdyo&amp;start_radio=1</t>
  </si>
  <si>
    <t>분포 (자동)</t>
  </si>
  <si>
    <r>
      <rPr>
        <rFont val="Calibri"/>
        <color theme="1"/>
        <sz val="11.0"/>
      </rPr>
      <t xml:space="preserve">
</t>
    </r>
    <r>
      <rPr>
        <rFont val="Calibri"/>
        <color theme="1"/>
        <sz val="8.0"/>
      </rPr>
      <t>K-팝의 새로운 주인공은 '버추얼 아이돌'…오디션 현장 가보니 [트렌드 '요즘'] [뉴스7]</t>
    </r>
  </si>
  <si>
    <t>갠적으로 버츄얼 아이돌은 미국,일본 서로 다름 (미국은 본모습 공개해도 별느낌 없다면 아시아쪽은 본모습 공개를 최대한 피함)
이런거보면 한국도 아이돌에 한해서 예능,음방에서라도 가면을 쓰고 실제 출연했으면 어떨까 싶음
블라인드 오디션이면 모를까 그게 아니면 이런식으로 인간 아이돌과 버츄얼 아이돌의 차별점을 둬서 인정받으면 어떨지 싶음
가면쓰면 그만큼 더 지치는데 그래도 안정적으로 노래를하면 조금씩 인정 받으면 좋겠음
솔직히 팬덤 중에서도 몇몇 팬들이 댓글에서도 예민하게 굴다보니 이미지가 무너진것도 있어서...
이걸 못잡겠으면 다른방식으로 인정받는건 어떨까 싶음</t>
  </si>
  <si>
    <t>https://www.youtube.com/watch?v=AHwNLKEn_jc</t>
  </si>
  <si>
    <t>8교시에 읽을 첫 줄 — 위 두 숫자로 저절로 만들어진다</t>
  </si>
  <si>
    <r>
      <rPr>
        <rFont val="Calibri"/>
        <color theme="1"/>
        <sz val="11.0"/>
      </rPr>
      <t xml:space="preserve">
</t>
    </r>
    <r>
      <rPr>
        <rFont val="Calibri"/>
        <color theme="1"/>
        <sz val="8.0"/>
      </rPr>
      <t>콘서트 티켓 8분 만에 전석 매진시킨다는 버추얼 아이돌 근황 / 스브스뉴스</t>
    </r>
  </si>
  <si>
    <t>사람들이 착각하는게 그냥 그림(아바타) 움직이는걸 뭐가 좋다고 그러냐고 하던데
현실의 아이돌도 대부분의 사람들에겐 실제로 보기 힘든 화면 속 이쁜 사람들일 뿐인데 좋아하는건 각자의 매력이 있긴 때문 아닌가? 그게 외모일수도 있고 개성이나 실력때문일 수도 있듯이 버츄얼도 똑같은 거라고 생각함
나도 '이세돌'이 무엇인지는 알아도 딱히 관심 없었다가 우연찮게 알게되서 좋아하게 됐는데, 깜짝놀란건 어디선가 듣고 "어 이노래 좋은데 누구노래지?" 했던게 키딩이랑 락다운이었음.
사람들이 편견을 깨고 마주했으면 합니다.</t>
  </si>
  <si>
    <t>https://www.youtube.com/watch?v=S1bcy4h1mS8</t>
  </si>
  <si>
    <t>음방 1위까지 한 버추얼 아이돌 플레이브 실체 ㄷㄷ | 🤗어서 5세대</t>
  </si>
  <si>
    <t>이 영상 보면서 느낀게 나도 원래는 버추얼 아이돌이 뭔지도 몰라서 AI인 줄 알고 막 욕하고 다녔는데 어느날부터 인지 내 삶에 50%를 차지할 정도로 엄청난 영향력을 가진 끼쟁이들이란 것을 다시 한 번 느낌게 됨 ㅋㅋㅋㅋ</t>
  </si>
  <si>
    <t>https://www.youtube.com/watch?v=YFlyLHfyB9c</t>
  </si>
  <si>
    <t xml:space="preserve">
"이세돌"이란 무엇인가? 아재도 10분만에 이해하는 이세계 아이돌!
 feat. 버츄얼 유튜버 1타강사</t>
  </si>
  <si>
    <t>정리 잘 해주셨네요.... 메타버스 산업이 얼마나 커질지 모르겠습니다.. 지금도 성장세를 타고 있지요 심지어 직업학교내 수업과목을 보면 VR/AR 수업과목도 있더라구요 또한 무엇보다 이세돌 맴버들의 솔직함,당당함이 팬들로 하여금 더 좋아지게 하는 도화선이 되지 않았나 싶습니다 그러면서 메타버스 세상을 몰랐던 사람들도 거부감이 생겼다가도 점점 관심을 가지게 되는게 아닐런지요 VR 이라고 하면 모르시는 분들께서는 아담과 비교를 하는데요.. 아담은 일종의 A.I 정도라고 생각하시면 될거 같습니다 영상에서도 나왔다 싶이 아미 팬덤 처럼 소통이 중요한 시대죠 깔끔한 정리 감사합니다... 알고리즘 타고 널리널리 퍼졌으면 하네요... 킹아!!!</t>
  </si>
  <si>
    <t>https://www.youtube.com/watch?v=8KGfkzgIZRw</t>
  </si>
  <si>
    <t xml:space="preserve">버추얼 캐릭터링 기술: 가상과 현실을 잇는 새로운 혁명
</t>
  </si>
  <si>
    <t xml:space="preserve">버추얼 캐릭터링 기술에 대한 자세한 설명이 매우 인상적이었습니다. 특히 3D 그래픽스와 모션 애니메이션의 결합이 캐릭터에 생동감을 부여하는 과정이 흥미로웠습니다. 
앞으로 이 기술이 어떻게 발전할지 기대됩니다!
</t>
  </si>
  <si>
    <t>https://blog.naver.com/kcc_press/224043606687</t>
  </si>
  <si>
    <t>자동 집계 — 'X'가 쌓이는 것이 발견이다</t>
  </si>
  <si>
    <t>원문 그대로 옮겼는가</t>
  </si>
  <si>
    <t>실습 ② 뒷부분 — 아침에 적은 짐작과 맞춰 본다 (7교시 16:30~16:50)   —   작성 예시</t>
  </si>
  <si>
    <t>여섯 줄 중 다섯이 달랐다. 이 사람 감이 나쁜 게 아니다 — 아침에 적은 그대로 기획서를 썼다면 틀린 말 다섯 개를 그대로 넣었을 것이다. ⑥처럼 '못 찾음'으로 둔 줄도 있다. 억지로 '같았다'로 채우지 않은 게 이 예시의 핵심이다.</t>
  </si>
  <si>
    <t>★ 「기술」 이야기가 나온 건 몇 건인가 (자동)</t>
  </si>
  <si>
    <t>6건 중 5건이 버추얼을 만들어 파는 회사 글이었다. 공시 자료 1건만 파는 곳이 아니었다</t>
  </si>
  <si>
    <t>숫자가 있는 건 6건 중 2건. '연 40% 성장'도 낸 곳이 그 기술을 파는 회사였다</t>
  </si>
  <si>
    <t>6건 중 1건. 본 사람들은 기술을 거의 말하지 않았다</t>
  </si>
  <si>
    <t>'어색하다'보다 '세계관' · '방송인 매력'이 더 많이 나왔다</t>
  </si>
  <si>
    <t>공시를 열어 보니 광고보다 멤버십 · 굿즈 비중이 컸다</t>
  </si>
  <si>
    <t>여전히 모르겠다. 찾은 숫자마다 센 범위가 달랐다</t>
  </si>
  <si>
    <t>여섯 줄 중 다섯이 달랐다 — 이 정도면 내가 이 시장을 너무 모르는 건가?</t>
  </si>
  <si>
    <t>실습 ③ — 찾아온 것을 세 바구니에 나눠 담는다 (8교시 17:00~17:20)</t>
  </si>
  <si>
    <t>새로 쓰는 칸이 아니다. 앞에서 찾아온 것을 세 칸에 나눠 담기만 한다.   ·   3C는 어려운 말이 아니라 칸 이름 세 개다 — 보는 사람 / 이미 하고 있는 곳 / 우리.   ·   ⚠️ 가운데 칸에 회사 이름만 적으면 안 채운 것이다. 이름 옆에 «무엇으로 버는가»가 적혀야 한다.   ·   모르는 칸은 비워 두지 말고 '? 확인 필요'라고 적는다.</t>
  </si>
  <si>
    <t>바구니</t>
  </si>
  <si>
    <t>무엇을 담는가</t>
  </si>
  <si>
    <t>내가 찾아온 것 — 출처를 함께</t>
  </si>
  <si>
    <t>보는 사람  (고객)</t>
  </si>
  <si>
    <t>누가 · 왜 보는가. 본 사람이 한 말을 그대로</t>
  </si>
  <si>
    <t xml:space="preserve">방문자가 쓴글 총 12건 중 공통 부분의 말은 쇼츠 뜨는 걸로 간간히 보다가 정주행 시작한 일반인은 보컬 구멍이 없고 댄스 실력도 나쁘지 않으며, 구성이 탄탄하여 보게 되었다고 한다. [유튜브]
모션캡쳐, VR/AR, 트래킹, 3D 그래픽스 같은 기술적 기반 강조, 단순 AI가 아니라 실제 사람이 움직임을 구현한다. [유튜브]
버추얼 아이돌이 현실 아이돌과 다른 정체성·차별성을 가진다는 것이였다.[유튜브]
</t>
  </si>
  <si>
    <r>
      <rPr>
        <color rgb="FF0000FF"/>
        <u/>
      </rPr>
      <t xml:space="preserve">1. https://www.youtube.com/watch?v=sJTIs3Ba1ig&amp;list=RDsJTIs3Ba1ig&amp;start_radio=1
2.https://www.youtube.com/watch?v=NDjDzvfoSXk
3. https://www.youtube.com/watch?v=YFlyLHfyB9c
4. https://www.youtube.com/watch?v=8KGfkzgIZRw
5. </t>
    </r>
    <r>
      <rPr>
        <color rgb="FF1155CC"/>
        <u/>
      </rPr>
      <t>https://blog.naver.com/kcc_press/224043606687</t>
    </r>
  </si>
  <si>
    <t>이미 하고 있는 곳  (경쟁)</t>
  </si>
  <si>
    <t>어느 회사가 «무엇으로» 버는가. ★ 회사 이름만 적으면 안 채운 것</t>
  </si>
  <si>
    <t xml:space="preserve">플레이브는 버추얼 아이돌 그룹을 기획·운영하는 엔터테인먼트 회사(블래스트)는 모션캡처와 VR 기술을 활용해 새로운 형태의 공연과 콘텐츠를 선보이며 음반 및 공연, 굿즈 및 IP사업, 팬플랫폼을 통해 수익을 채운다.
플레이브는 단순한 기술적 흥미나 일시적 화제성에 머물지 않고, 지속적인 음악 활동과 콘텐츠 제작을 통해 팬덤의 반복적인 참여와 소비가 이루어지고 있다.
또한 플레이브 공식 유튜브 채널은 2025년 11월 기준 누적 조회수 약 8.8억 회를 기록하고 있어, 지속적인 콘텐츠 소비가 이루어지고 있음을 확인할 수 있다.
특히 플레이브와 같은
‘캐릭터형 버추얼 아이돌’은 굿즈(MD) 제작에 최적화된 2D 디자인을 보유하고 있어,캐릭터 상품화 관점에서 실사형 모델 대비 높은 잠재력을 지닌다. 실제로 플레이브는최근 ‘헬로키티’, ‘쿠로미’ 등 글로벌 캐릭터 IP를 보유한 일본의 ‘산리오(Sanrio)’사와의협업을 통해,   앨범『PLUBBU』의 콘셉트를 반영한 인형과 포토카드 등 다양한 2차 저작물을 선보인 바 있다.
</t>
  </si>
  <si>
    <r>
      <rPr>
        <sz val="8.0"/>
      </rPr>
      <t>(출처: 플레이브(PLAVE)를 중심으로 본 버추얼 아이돌 산업 확장 전략 = Expansion Strategies of the Virtual Idol Industry : A Case Study on PLAVE- 저자 김인창.)</t>
    </r>
    <r>
      <rPr/>
      <t xml:space="preserve">
</t>
    </r>
    <r>
      <rPr>
        <color rgb="FF1155CC"/>
        <u/>
      </rPr>
      <t>https://www.riss.kr/link?id=T17384648</t>
    </r>
  </si>
  <si>
    <t>우리  (자사)</t>
  </si>
  <si>
    <t>내가 가진 것. 회사가 없으면 '내 기획팀' — 시간 · 아는 분야 · 다룰 줄 아는 도구</t>
  </si>
  <si>
    <t>팬 커뮤니티 운영 경험, 콘텐츠 기획 및 팬심리 이해, 엔터테인먼트/버추얼 아이돌 트렌드 조사 능력, 전문 기술 인력( 협력사/파트너 필요)</t>
  </si>
  <si>
    <t>자동 점검 — 다 되면 ○ 로 바뀐다</t>
  </si>
  <si>
    <t>세 칸을 다 채웠는가</t>
  </si>
  <si>
    <t>★ 가운데 칸에 «무엇으로 버는가»가 적혔는가</t>
  </si>
  <si>
    <t>출처가 붙었는가</t>
  </si>
  <si>
    <t>실습 ③ — 찾아온 것을 세 바구니에 나눠 담는다 (8교시 17:00~17:20)   —   작성 예시</t>
  </si>
  <si>
    <t>세 칸 모두 '새로 만든 것'이 아니라 '옮겨 담은 것'이다. ★ 가운데 칸에 회사 이름만 적지 않고 «무엇으로 버는가»를 붙였다. 모르는 것은 '? 확인 필요'로 남겼다 — 비워 두지 않았다.</t>
  </si>
  <si>
    <t>본 사람 글 6건 — "세계관이 촘촘해서 계속 보게 된다", "결국 방송인 매력". 기술이 좋아서 본다는 말은 6건 중 1건뿐이었다.</t>
  </si>
  <si>
    <t>제작사 · 솔루션사 · 공연 기획사로 갈린다. ★ 이름 옆에 «무엇으로 버는가»를 적었다 — 제작사는 IP 매출, 솔루션사는 B2B 납품. 공시 2곳 대조.</t>
  </si>
  <si>
    <t>내 기획팀 기준 — 팬 커뮤니티를 안다, 구글 시트 · AI를 쓴다. 버추얼 제작 역량은 없다 — ? 외주 단가 확인 필요.</t>
  </si>
  <si>
    <t>이미 하고 있는 곳을 어디까지 넓혀야 하나 — 게임 회사도 넣어야 하나?</t>
  </si>
  <si>
    <t>실습 ④ — 두 말의 차이를 한 문장으로 닫는다 (8교시 · ★17:20 에 무조건 시작)</t>
  </si>
  <si>
    <t>여섯 칸만 채우면 맨 아래에 문장이 저절로 만들어진다. 문장을 직접 쓰는 칸이 아니다.   ·   ⚠️ ⑤번 칸이 오늘의 핵심이다 — 두 말이 «어디서» 갈라지는지 한 줄로 적는다.   ·   ⚠️ 오늘은 기획안을 고치지 않는다. 조사 주제와 10일차 기획 대상이 다르다. 오늘 익히는 건 주제가 아니라 «조사하는 법»이다.   ·   오늘 손에 들고 나가는 건 이 한 줄이다.</t>
  </si>
  <si>
    <t>칸</t>
  </si>
  <si>
    <t>내가 채우는 자리</t>
  </si>
  <si>
    <t>① 본 사람들이 한 말 (원문)</t>
  </si>
  <si>
    <t xml:space="preserve">버추얼 캐릭터링 기술에 대한 자세한 설명이 매우 인상적이었습니다. 특히 3D 그래픽스와 모션 애니메이션의 결합이 캐릭터에 생동감을 부여하는 과정이 흥미로웠습니다. 
앞으로 이 기술이 어떻게 발전할지 기대됩니다!
</t>
  </si>
  <si>
    <t>② 그 출처 (어디서 · 몇 건)</t>
  </si>
  <si>
    <t>유튜브  및 블로그</t>
  </si>
  <si>
    <t>③ 판매자가 한 말 (원문)</t>
  </si>
  <si>
    <t>실제로는 촘촘한 세계관 형성과 스토리 개발, 실재 사람과의 소통과 같은 진정성과 상호작용성, 윤리적인 판단과 책임 등의 요소들이 더 중요하다는 점을 시사함.</t>
  </si>
  <si>
    <t>④ 그 출처 (누가 · 무엇을 파는 곳)</t>
  </si>
  <si>
    <t>한국 콘텐츠 진흥원</t>
  </si>
  <si>
    <t>⑤ 두 말이 갈라지는 지점</t>
  </si>
  <si>
    <t>본사람은 버추얼 아이돌의 기술을 말하고 판매자는 실제 사람과의 소통과 상호작용의 중요성을 설명함.</t>
  </si>
  <si>
    <t>⑥ 그래서 이 시장을 이렇게 본다</t>
  </si>
  <si>
    <t>기술뿐만 아니라 하나의 세계관으로 연결하는 커뮤니케이션을 강조한다.</t>
  </si>
  <si>
    <t>실습 ④ — 두 말의 차이를 한 문장으로 닫는다 (8교시 · ★17:20 에 무조건 시작)   —   작성 예시</t>
  </si>
  <si>
    <t>두 쪽 말이 정면으로 엇갈린 예다. 판매자는 기술을 말하고 본 사람은 사람을 말한다. ⑤에 «어디서 갈라지는지»가 적혀 있어서 ⑥이 저절로 나온다.</t>
  </si>
  <si>
    <t>완성 문장 — 자동으로 조립된다</t>
  </si>
  <si>
    <t>유튜브 댓글 · 커뮤니티 6건 · 2026.9 확인</t>
  </si>
  <si>
    <t>"실시간 렌더링 기술이 시장을 연 40% 키운다"</t>
  </si>
  <si>
    <t>○○스튜디오 블로그 · 버추얼 휴먼을 만들어 파는 곳 · 2026.5</t>
  </si>
  <si>
    <t>판매자는 «기술»을 말하고, 본 사람은 «사람과 세계관»을 말한다</t>
  </si>
  <si>
    <t>기술이 아니라 «누가 하느냐»로 갈리는 시장으로 본다</t>
  </si>
  <si>
    <t>두 말이 엇갈리는데 어느 쪽을 근거로 삼아야 하나 — 본 사람 쪽인가?</t>
  </si>
  <si>
    <t>자동 점검 — 오늘 들고 나가는 물건은 이 한 줄이다</t>
  </si>
  <si>
    <t>여섯 칸을 다 채웠는가</t>
  </si>
  <si>
    <t>★ 출처 두 칸에 '누가 말했나'가 있는가</t>
  </si>
  <si>
    <t>★ 그 사람이 무엇을 파는 곳인지 적었는가</t>
  </si>
  <si>
    <t>★ ⑤ 갈라지는 지점을 적었는가</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</si>
</sst>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sz val="9.0"/>
      <color rgb="FF85929A"/>
      <name val="Pretendard"/>
    </font>
    <font>
      <b/>
      <sz val="16.0"/>
      <color rgb="FF223055"/>
      <name val="Pretendard"/>
    </font>
    <font>
      <sz val="10.0"/>
      <color rgb="FF4A4A4A"/>
      <name val="Pretendard"/>
    </font>
    <font>
      <b/>
      <sz val="11.0"/>
      <color rgb="FF223055"/>
      <name val="Pretendard"/>
    </font>
    <font>
      <b/>
      <sz val="11.0"/>
      <color rgb="FF223055"/>
      <name val="Arial"/>
    </font>
    <font>
      <b/>
      <sz val="10.0"/>
      <color rgb="FF1A1A1A"/>
      <name val="Pretendard"/>
    </font>
    <font>
      <b/>
      <sz val="10.0"/>
      <color rgb="FF171010"/>
      <name val="Arial"/>
    </font>
    <font>
      <b/>
      <sz val="16.0"/>
      <color rgb="FF906D4F"/>
      <name val="Pretendard"/>
    </font>
    <font>
      <b/>
      <sz val="10.0"/>
      <color theme="1"/>
      <name val="Calibri"/>
    </font>
    <font>
      <sz val="10.0"/>
      <color rgb="FF906D4F"/>
      <name val="Pretendard"/>
    </font>
    <font>
      <sz val="11.0"/>
      <color theme="1"/>
      <name val="Calibri"/>
    </font>
    <font>
      <b/>
      <sz val="10.0"/>
      <color rgb="FF906D4F"/>
      <name val="Pretendard"/>
    </font>
    <font>
      <b/>
      <sz val="11.0"/>
      <color rgb="FFF66181"/>
      <name val="Pretendard"/>
    </font>
    <font/>
    <font>
      <sz val="10.0"/>
      <color theme="1"/>
      <name val="Pretendard"/>
    </font>
    <font>
      <color theme="1"/>
      <name val="Calibri"/>
      <scheme val="minor"/>
    </font>
    <font>
      <b/>
      <sz val="10.0"/>
      <color theme="1"/>
      <name val="Pretendard"/>
    </font>
    <font>
      <u/>
      <sz val="10.0"/>
      <color rgb="FF000000"/>
      <name val="Calibri"/>
    </font>
    <font>
      <u/>
      <color rgb="FF0000FF"/>
    </font>
    <font>
      <b/>
      <sz val="10.0"/>
      <color rgb="FF1E1E1E"/>
      <name val="Arial"/>
    </font>
    <font>
      <b/>
      <sz val="10.0"/>
      <color rgb="FF38333D"/>
      <name val="&quot;Noto Sans KR&quot;"/>
    </font>
    <font>
      <b/>
      <sz val="10.0"/>
      <color theme="1"/>
      <name val="Calibri"/>
      <scheme val="minor"/>
    </font>
    <font>
      <b/>
      <sz val="10.0"/>
      <color rgb="FF000000"/>
      <name val="Arial"/>
    </font>
    <font>
      <u/>
      <color rgb="FF0000FF"/>
    </font>
    <font>
      <sz val="10.0"/>
      <color rgb="FF38333D"/>
      <name val="&quot;Noto Sans KR&quot;"/>
    </font>
    <font>
      <sz val="8.0"/>
      <color theme="1"/>
      <name val="Calibri"/>
    </font>
    <font>
      <sz val="10.0"/>
      <color theme="1"/>
      <name val="Calibri"/>
    </font>
    <font>
      <sz val="8.0"/>
      <color rgb="FF0F0F0F"/>
      <name val="Roboto"/>
    </font>
    <font>
      <sz val="8.0"/>
      <color theme="1"/>
      <name val="Calibri"/>
      <scheme val="minor"/>
    </font>
    <font>
      <b/>
      <sz val="10.0"/>
      <color rgb="FF1A1A1A"/>
      <name val="Arial"/>
    </font>
    <font>
      <b/>
      <sz val="12.0"/>
      <color rgb="FF223055"/>
      <name val="Pretendard"/>
    </font>
    <font>
      <u/>
      <color rgb="FF0000FF"/>
      <name val="Calibri"/>
      <scheme val="minor"/>
    </font>
    <font>
      <b/>
      <sz val="15.0"/>
      <color rgb="FF0F0F0F"/>
      <name val="Roboto"/>
    </font>
    <font>
      <sz val="9.0"/>
      <color rgb="FF0F0F0F"/>
      <name val="Roboto"/>
    </font>
  </fonts>
  <fills count="8">
    <fill>
      <patternFill patternType="none"/>
    </fill>
    <fill>
      <patternFill patternType="lightGray"/>
    </fill>
    <fill>
      <patternFill patternType="solid">
        <fgColor rgb="FFFEEBF1"/>
        <bgColor rgb="FFFEEBF1"/>
      </patternFill>
    </fill>
    <fill>
      <patternFill patternType="solid">
        <fgColor rgb="FFF2E7DC"/>
        <bgColor rgb="FFF2E7DC"/>
      </patternFill>
    </fill>
    <fill>
      <patternFill patternType="solid">
        <fgColor rgb="FFFBF7F3"/>
        <bgColor rgb="FFFBF7F3"/>
      </patternFill>
    </fill>
    <fill>
      <patternFill patternType="solid">
        <fgColor rgb="FFF5F5F6"/>
        <bgColor rgb="FFF5F5F6"/>
      </patternFill>
    </fill>
    <fill>
      <patternFill patternType="solid">
        <fgColor rgb="FFFFFFFF"/>
        <bgColor rgb="FFFFFFFF"/>
      </patternFill>
    </fill>
    <fill>
      <patternFill patternType="solid">
        <fgColor rgb="FFFFF4F8"/>
        <bgColor rgb="FFFFF4F8"/>
      </patternFill>
    </fill>
  </fills>
  <borders count="11">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top/>
      <bottom/>
    </border>
    <border>
      <right/>
      <top/>
      <bottom/>
    </border>
    <border>
      <left style="thin">
        <color rgb="FFD9D9D9"/>
      </left>
      <right style="thin">
        <color rgb="FFD9D9D9"/>
      </right>
      <top style="thin">
        <color rgb="FFD9D9D9"/>
      </top>
    </border>
    <border>
      <left style="thin">
        <color rgb="FF000000"/>
      </left>
      <right style="thin">
        <color rgb="FF000000"/>
      </right>
      <top style="thin">
        <color rgb="FF000000"/>
      </top>
      <bottom style="thin">
        <color rgb="FF000000"/>
      </bottom>
    </border>
    <border>
      <top/>
      <bottom/>
    </border>
    <border>
      <left/>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center" wrapText="1"/>
    </xf>
    <xf borderId="1" fillId="2" fontId="4" numFmtId="0" xfId="0" applyAlignment="1" applyBorder="1" applyFill="1" applyFont="1">
      <alignment horizontal="center" shrinkToFit="0" vertical="center" wrapText="1"/>
    </xf>
    <xf borderId="1" fillId="2" fontId="5" numFmtId="0" xfId="0" applyAlignment="1" applyBorder="1" applyFill="1" applyFont="1">
      <alignment horizontal="center" readingOrder="0" shrinkToFit="0" vertical="center" wrapText="1"/>
    </xf>
    <xf borderId="1" fillId="0" fontId="6" numFmtId="0" xfId="0" applyAlignment="1" applyBorder="1" applyFont="1">
      <alignment shrinkToFit="0" vertical="top" wrapText="1"/>
    </xf>
    <xf borderId="0" fillId="0" fontId="7" numFmtId="0" xfId="0" applyAlignment="1" applyFont="1">
      <alignment horizontal="left" readingOrder="0"/>
    </xf>
    <xf borderId="0" fillId="0" fontId="8" numFmtId="0" xfId="0" applyFont="1"/>
    <xf borderId="1" fillId="0" fontId="6" numFmtId="0" xfId="0" applyAlignment="1" applyBorder="1" applyFont="1">
      <alignment shrinkToFit="0" vertical="center" wrapText="1"/>
    </xf>
    <xf borderId="1" fillId="0" fontId="9" numFmtId="0" xfId="0" applyAlignment="1" applyBorder="1" applyFont="1">
      <alignment horizontal="left" readingOrder="0" shrinkToFit="0" vertical="top" wrapText="1"/>
    </xf>
    <xf borderId="0" fillId="0" fontId="10" numFmtId="0" xfId="0" applyAlignment="1" applyFont="1">
      <alignment shrinkToFit="0" vertical="center" wrapText="1"/>
    </xf>
    <xf borderId="1" fillId="0" fontId="11" numFmtId="0" xfId="0" applyAlignment="1" applyBorder="1" applyFont="1">
      <alignment readingOrder="0" shrinkToFit="0" vertical="top" wrapText="1"/>
    </xf>
    <xf borderId="1" fillId="3" fontId="4" numFmtId="0" xfId="0" applyAlignment="1" applyBorder="1" applyFill="1" applyFont="1">
      <alignment horizontal="center" shrinkToFit="0" vertical="center" wrapText="1"/>
    </xf>
    <xf borderId="1" fillId="0" fontId="12" numFmtId="0" xfId="0" applyAlignment="1" applyBorder="1" applyFont="1">
      <alignment shrinkToFit="0" vertical="top" wrapText="1"/>
    </xf>
    <xf borderId="1" fillId="4" fontId="6" numFmtId="0" xfId="0" applyAlignment="1" applyBorder="1" applyFill="1" applyFont="1">
      <alignment shrinkToFit="0" vertical="center" wrapText="1"/>
    </xf>
    <xf borderId="1" fillId="4" fontId="3" numFmtId="0" xfId="0" applyAlignment="1" applyBorder="1" applyFill="1" applyFont="1">
      <alignment shrinkToFit="0" vertical="top" wrapText="1"/>
    </xf>
    <xf borderId="0" fillId="0" fontId="13" numFmtId="0" xfId="0" applyFont="1"/>
    <xf borderId="2" fillId="0" fontId="11" numFmtId="0" xfId="0" applyAlignment="1" applyBorder="1" applyFont="1">
      <alignment shrinkToFit="0" vertical="top" wrapText="1"/>
    </xf>
    <xf borderId="3" fillId="0" fontId="14" numFmtId="0" xfId="0" applyBorder="1" applyFont="1"/>
    <xf borderId="4" fillId="0" fontId="14" numFmtId="0" xfId="0" applyBorder="1" applyFont="1"/>
    <xf borderId="0" fillId="0" fontId="4" numFmtId="0" xfId="0" applyFont="1"/>
    <xf borderId="0" fillId="0" fontId="15" numFmtId="0" xfId="0" applyAlignment="1" applyFont="1">
      <alignment vertical="center"/>
    </xf>
    <xf borderId="2" fillId="0" fontId="10" numFmtId="0" xfId="0" applyAlignment="1" applyBorder="1" applyFont="1">
      <alignment shrinkToFit="0" vertical="top" wrapText="1"/>
    </xf>
    <xf borderId="0" fillId="0" fontId="16" numFmtId="0" xfId="0" applyFont="1"/>
    <xf borderId="5" fillId="5" fontId="17" numFmtId="0" xfId="0" applyAlignment="1" applyBorder="1" applyFill="1" applyFont="1">
      <alignment shrinkToFit="0" vertical="center" wrapText="1"/>
    </xf>
    <xf borderId="1" fillId="0" fontId="18" numFmtId="0" xfId="0" applyAlignment="1" applyBorder="1" applyFont="1">
      <alignment readingOrder="0" shrinkToFit="0" vertical="top" wrapText="1"/>
    </xf>
    <xf borderId="6" fillId="0" fontId="14" numFmtId="0" xfId="0" applyBorder="1" applyFont="1"/>
    <xf borderId="1" fillId="0" fontId="9" numFmtId="0" xfId="0" applyAlignment="1" applyBorder="1" applyFont="1">
      <alignment horizontal="left" readingOrder="0" shrinkToFit="0" vertical="top" wrapText="1"/>
    </xf>
    <xf borderId="0" fillId="0" fontId="19" numFmtId="0" xfId="0" applyAlignment="1" applyFont="1">
      <alignment readingOrder="0"/>
    </xf>
    <xf borderId="0" fillId="6" fontId="20" numFmtId="0" xfId="0" applyAlignment="1" applyFill="1" applyFont="1">
      <alignment horizontal="left" readingOrder="0"/>
    </xf>
    <xf borderId="0" fillId="0" fontId="21" numFmtId="0" xfId="0" applyAlignment="1" applyFont="1">
      <alignment horizontal="left" readingOrder="0"/>
    </xf>
    <xf borderId="0" fillId="0" fontId="22" numFmtId="0" xfId="0" applyAlignment="1" applyFont="1">
      <alignment horizontal="left" readingOrder="0"/>
    </xf>
    <xf borderId="0" fillId="0" fontId="23" numFmtId="0" xfId="0" applyAlignment="1" applyFont="1">
      <alignment horizontal="left" readingOrder="0" shrinkToFit="0" wrapText="1"/>
    </xf>
    <xf borderId="0" fillId="0" fontId="24" numFmtId="0" xfId="0" applyAlignment="1" applyFont="1">
      <alignment readingOrder="0"/>
    </xf>
    <xf borderId="7" fillId="2" fontId="4" numFmtId="0" xfId="0" applyAlignment="1" applyBorder="1" applyFill="1" applyFont="1">
      <alignment horizontal="center" shrinkToFit="0" vertical="center" wrapText="1"/>
    </xf>
    <xf borderId="2" fillId="0" fontId="6" numFmtId="0" xfId="0" applyAlignment="1" applyBorder="1" applyFont="1">
      <alignment shrinkToFit="0" vertical="top" wrapText="1"/>
    </xf>
    <xf borderId="0" fillId="0" fontId="25" numFmtId="0" xfId="0" applyAlignment="1" applyFont="1">
      <alignment horizontal="center" readingOrder="0"/>
    </xf>
    <xf borderId="8" fillId="0" fontId="26" numFmtId="0" xfId="0" applyAlignment="1" applyBorder="1" applyFont="1">
      <alignment readingOrder="0" shrinkToFit="0" vertical="top" wrapText="1"/>
    </xf>
    <xf borderId="1" fillId="0" fontId="27" numFmtId="0" xfId="0" applyAlignment="1" applyBorder="1" applyFont="1">
      <alignment readingOrder="0" shrinkToFit="0" vertical="top" wrapText="1"/>
    </xf>
    <xf borderId="8" fillId="6" fontId="28" numFmtId="0" xfId="0" applyAlignment="1" applyBorder="1" applyFill="1" applyFont="1">
      <alignment horizontal="left" readingOrder="0"/>
    </xf>
    <xf borderId="0" fillId="0" fontId="16" numFmtId="0" xfId="0" applyAlignment="1" applyFont="1">
      <alignment readingOrder="0"/>
    </xf>
    <xf borderId="9" fillId="0" fontId="14" numFmtId="0" xfId="0" applyBorder="1" applyFont="1"/>
    <xf borderId="8" fillId="0" fontId="29" numFmtId="0" xfId="0" applyAlignment="1" applyBorder="1" applyFont="1">
      <alignment readingOrder="0"/>
    </xf>
    <xf borderId="1" fillId="0" fontId="3" numFmtId="0" xfId="0" applyAlignment="1" applyBorder="1" applyFont="1">
      <alignment shrinkToFit="0" vertical="center" wrapText="1"/>
    </xf>
    <xf borderId="8" fillId="6" fontId="28" numFmtId="0" xfId="0" applyAlignment="1" applyBorder="1" applyFill="1" applyFont="1">
      <alignment readingOrder="0"/>
    </xf>
    <xf borderId="8" fillId="0" fontId="11" numFmtId="0" xfId="0" applyAlignment="1" applyBorder="1" applyFont="1">
      <alignment readingOrder="0" shrinkToFit="0" vertical="top" wrapText="1"/>
    </xf>
    <xf borderId="0" fillId="0" fontId="16" numFmtId="0" xfId="0" applyAlignment="1" applyFont="1">
      <alignment readingOrder="0"/>
    </xf>
    <xf borderId="0" fillId="0" fontId="30" numFmtId="0" xfId="0" applyAlignment="1" applyFont="1">
      <alignment readingOrder="0" shrinkToFit="0" vertical="top" wrapText="1"/>
    </xf>
    <xf borderId="0" fillId="0" fontId="31" numFmtId="0" xfId="0" applyAlignment="1" applyFont="1">
      <alignment shrinkToFit="0" vertical="center" wrapText="1"/>
    </xf>
    <xf borderId="8" fillId="0" fontId="28" numFmtId="0" xfId="0" applyAlignment="1" applyBorder="1" applyFont="1">
      <alignment readingOrder="0" shrinkToFit="0" wrapText="1"/>
    </xf>
    <xf borderId="0" fillId="0" fontId="32" numFmtId="0" xfId="0" applyAlignment="1" applyFont="1">
      <alignment readingOrder="0"/>
    </xf>
    <xf borderId="0" fillId="6" fontId="33" numFmtId="0" xfId="0" applyAlignment="1" applyFill="1" applyFont="1">
      <alignment readingOrder="0"/>
    </xf>
    <xf borderId="0" fillId="0" fontId="34" numFmtId="0" xfId="0" applyAlignment="1" applyFont="1">
      <alignment shrinkToFit="0" wrapText="0"/>
    </xf>
    <xf borderId="1" fillId="0" fontId="11" numFmtId="0" xfId="0" applyAlignment="1" applyBorder="1" applyFont="1">
      <alignment shrinkToFit="0" vertical="top" wrapText="1"/>
    </xf>
    <xf borderId="1" fillId="0" fontId="26" numFmtId="0" xfId="0" applyAlignment="1" applyBorder="1" applyFont="1">
      <alignment readingOrder="0" shrinkToFit="0" vertical="top" wrapText="1"/>
    </xf>
    <xf borderId="2" fillId="7" fontId="31" numFmtId="0" xfId="0" applyAlignment="1" applyBorder="1" applyFill="1" applyFont="1">
      <alignment shrinkToFit="0" vertical="center" wrapText="1"/>
    </xf>
    <xf borderId="10" fillId="5" fontId="17"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이창훈" id="{c2a2fb47-a2c4-4cde-8686-61001972a36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 dT="2026-09-22T03:04:03.00" personId="{c2a2fb47-a2c4-4cde-8686-61001972a367}" id="{5a2deedd-5e67-40a1-a29e-dd4ba771efa1}" done="0">
    <x18tc:text xml:space="preserve">여기에는 세부적인 실제 숫자를 넣어주세요</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arte.co.kr/music/theme/125" TargetMode="External"/><Relationship Id="rId11" Type="http://schemas.openxmlformats.org/officeDocument/2006/relationships/drawing" Target="../drawings/drawing3.xml"/><Relationship Id="rId10" Type="http://schemas.openxmlformats.org/officeDocument/2006/relationships/hyperlink" Target="https://www.kocca.kr/kocca/bbs/view/B0158950/2003962.do?menuNo=204160" TargetMode="External"/><Relationship Id="rId12" Type="http://schemas.openxmlformats.org/officeDocument/2006/relationships/vmlDrawing" Target="../drawings/vmlDrawing1.vml"/><Relationship Id="rId9" Type="http://schemas.openxmlformats.org/officeDocument/2006/relationships/hyperlink" Target="https://www.kocca.kr/trend/vol36/sub/s21.html" TargetMode="External"/><Relationship Id="rId5" Type="http://schemas.openxmlformats.org/officeDocument/2006/relationships/hyperlink" Target="https://koreana.or.kr/koreana/na/ntt/selectNttInfo.do?nttSn=125691&amp;bbsId=1119" TargetMode="External"/><Relationship Id="rId6" Type="http://schemas.openxmlformats.org/officeDocument/2006/relationships/hyperlink" Target="https://antiegg.kr/20642/" TargetMode="External"/><Relationship Id="rId7" Type="http://schemas.openxmlformats.org/officeDocument/2006/relationships/hyperlink" Target="https://www.issueinsight.co.kr/news/articleView.html?idxno=2948" TargetMode="External"/><Relationship Id="rId8" Type="http://schemas.openxmlformats.org/officeDocument/2006/relationships/hyperlink" Target="https://www.kocca.kr/kocca/bbs/view/B0000141/2011413.do?menuNo=204145"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youtube.com/watch?v=8KGfkzgIZRw" TargetMode="External"/><Relationship Id="rId10" Type="http://schemas.openxmlformats.org/officeDocument/2006/relationships/hyperlink" Target="https://www.youtube.com/watch?v=YFlyLHfyB9c" TargetMode="External"/><Relationship Id="rId13" Type="http://schemas.openxmlformats.org/officeDocument/2006/relationships/drawing" Target="../drawings/drawing5.xml"/><Relationship Id="rId12" Type="http://schemas.openxmlformats.org/officeDocument/2006/relationships/hyperlink" Target="https://blog.naver.com/kcc_press/224043606687" TargetMode="External"/><Relationship Id="rId1" Type="http://schemas.openxmlformats.org/officeDocument/2006/relationships/hyperlink" Target="https://www.youtube.com/watch?v=sJTIs3Ba1ig&amp;list=RDsJTIs3Ba1ig&amp;start_radio=1" TargetMode="External"/><Relationship Id="rId2" Type="http://schemas.openxmlformats.org/officeDocument/2006/relationships/hyperlink" Target="https://www.youtube.com/watch?v=NDjDzvfoSXk" TargetMode="External"/><Relationship Id="rId3" Type="http://schemas.openxmlformats.org/officeDocument/2006/relationships/hyperlink" Target="https://www.youtube.com/watch?v=SJQiPtHcc20" TargetMode="External"/><Relationship Id="rId4" Type="http://schemas.openxmlformats.org/officeDocument/2006/relationships/hyperlink" Target="https://www.youtube.com/watch?v=EaPApSTIto4" TargetMode="External"/><Relationship Id="rId9" Type="http://schemas.openxmlformats.org/officeDocument/2006/relationships/hyperlink" Target="https://www.youtube.com/watch?v=S1bcy4h1mS8" TargetMode="External"/><Relationship Id="rId5" Type="http://schemas.openxmlformats.org/officeDocument/2006/relationships/hyperlink" Target="https://gall.dcinside.com/mini/board/view/?id=soopstreaming&amp;no=4717484" TargetMode="External"/><Relationship Id="rId6" Type="http://schemas.openxmlformats.org/officeDocument/2006/relationships/hyperlink" Target="https://www.youtube.com/watch?v=fZcNvcB6KpI&amp;list=RDfZcNvcB6KpI&amp;start_radio=1" TargetMode="External"/><Relationship Id="rId7" Type="http://schemas.openxmlformats.org/officeDocument/2006/relationships/hyperlink" Target="https://www.youtube.com/watch?v=OktRB0ptdyo&amp;list=RDOktRB0ptdyo&amp;start_radio=1" TargetMode="External"/><Relationship Id="rId8" Type="http://schemas.openxmlformats.org/officeDocument/2006/relationships/hyperlink" Target="https://www.youtube.com/watch?v=AHwNLKEn_jc"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blog.naver.com/kcc_press/224043606687" TargetMode="External"/><Relationship Id="rId2" Type="http://schemas.openxmlformats.org/officeDocument/2006/relationships/hyperlink" Target="https://www.riss.kr/link?id=T17384648"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44.0"/>
    <col customWidth="1" min="3" max="3" width="52.0"/>
    <col customWidth="1" min="4" max="4" width="18.0"/>
    <col customWidth="1" min="5" max="26" width="8.71"/>
  </cols>
  <sheetData>
    <row r="1">
      <c r="A1" s="1" t="s">
        <v>0</v>
      </c>
    </row>
    <row r="2">
      <c r="A2" s="2" t="s">
        <v>2</v>
      </c>
    </row>
    <row r="3">
      <c r="A3" s="3" t="s">
        <v>3</v>
      </c>
    </row>
    <row r="4" ht="33.75" customHeight="1">
      <c r="A4" s="4" t="s">
        <v>5</v>
      </c>
      <c r="B4" s="4" t="s">
        <v>9</v>
      </c>
      <c r="C4" s="4" t="s">
        <v>11</v>
      </c>
      <c r="D4" s="4" t="s">
        <v>13</v>
      </c>
    </row>
    <row r="5" ht="33.75" customHeight="1">
      <c r="A5" s="6" t="s">
        <v>15</v>
      </c>
      <c r="B5" s="9" t="s">
        <v>17</v>
      </c>
      <c r="C5" s="12" t="s">
        <v>22</v>
      </c>
      <c r="D5" s="12" t="s">
        <v>29</v>
      </c>
    </row>
    <row r="6" ht="33.75" customHeight="1">
      <c r="A6" s="6" t="s">
        <v>30</v>
      </c>
      <c r="B6" s="9" t="s">
        <v>31</v>
      </c>
      <c r="C6" s="12" t="s">
        <v>32</v>
      </c>
      <c r="D6" s="12" t="s">
        <v>29</v>
      </c>
    </row>
    <row r="7" ht="33.75" customHeight="1">
      <c r="A7" s="6" t="s">
        <v>33</v>
      </c>
      <c r="B7" s="9" t="s">
        <v>34</v>
      </c>
      <c r="C7" s="12" t="s">
        <v>35</v>
      </c>
      <c r="D7" s="12" t="s">
        <v>29</v>
      </c>
    </row>
    <row r="8" ht="33.75" customHeight="1">
      <c r="A8" s="6" t="s">
        <v>36</v>
      </c>
      <c r="B8" s="9" t="s">
        <v>37</v>
      </c>
      <c r="C8" s="12" t="s">
        <v>38</v>
      </c>
      <c r="D8" s="12" t="s">
        <v>29</v>
      </c>
    </row>
    <row r="9" ht="33.75" customHeight="1">
      <c r="A9" s="6" t="s">
        <v>39</v>
      </c>
      <c r="B9" s="9" t="s">
        <v>40</v>
      </c>
      <c r="C9" s="12" t="s">
        <v>41</v>
      </c>
      <c r="D9" s="12" t="s">
        <v>29</v>
      </c>
    </row>
    <row r="10" ht="33.75" customHeight="1">
      <c r="A10" s="6" t="s">
        <v>42</v>
      </c>
      <c r="B10" s="9" t="s">
        <v>43</v>
      </c>
      <c r="C10" s="12" t="s">
        <v>44</v>
      </c>
      <c r="D10" s="12" t="s">
        <v>29</v>
      </c>
    </row>
    <row r="12">
      <c r="A12" s="17" t="s">
        <v>45</v>
      </c>
    </row>
    <row r="13" ht="54.0" customHeight="1">
      <c r="A13" s="18"/>
      <c r="B13" s="19"/>
      <c r="C13" s="19"/>
      <c r="D13" s="20"/>
    </row>
    <row r="14">
      <c r="A14" s="21" t="s">
        <v>67</v>
      </c>
    </row>
    <row r="15" ht="21.75" customHeight="1">
      <c r="A15" s="22" t="s">
        <v>74</v>
      </c>
      <c r="C15" s="25" t="str">
        <f>IF(COUNTA(C5:C10)=6,"○ 여섯 줄","△ "&amp;COUNTA(C5:C10)&amp;"줄 — 모르면 '모름'이라고 적는다. 빈칸이 아니라 '모름'이다")</f>
        <v>○ 여섯 줄</v>
      </c>
      <c r="D15" s="27"/>
    </row>
    <row r="16" ht="21.75" customHeight="1">
      <c r="A16" s="22" t="s">
        <v>82</v>
      </c>
      <c r="C16" s="25" t="str">
        <f>IF(COUNTA(D5:D10)&lt;6,"— 확신도를 마저 고른다","확실함 "&amp;COUNTIF(D5:D10,"확실함")&amp;"  ·  긴가민가 "&amp;COUNTIF(D5:D10,"긴가민가")&amp;"  ·  모름 "&amp;COUNTIF(D5:D10,"모름")&amp;"   → 이 숫자를 기억해 둔다")</f>
        <v>확실함 0  ·  긴가민가 6  ·  모름 0   → 이 숫자를 기억해 둔다</v>
      </c>
      <c r="D16" s="27"/>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6">
    <mergeCell ref="A3:D3"/>
    <mergeCell ref="A13:D13"/>
    <mergeCell ref="A15:B15"/>
    <mergeCell ref="C15:D15"/>
    <mergeCell ref="A16:B16"/>
    <mergeCell ref="C16:D16"/>
  </mergeCells>
  <dataValidations>
    <dataValidation type="list" allowBlank="1" showInputMessage="1" showErrorMessage="1" prompt="얼마나 확실한가 - 틀려도 된다. 지금 상태를 정직하게 남기는 것이 목적이다." sqref="D5:D10">
      <formula1>"확실함,긴가민가,모름"</formula1>
    </dataValidation>
  </dataValidations>
  <printOptions/>
  <pageMargins bottom="0.4" footer="0.0" header="0.0" left="0.3" right="0.3" top="0.4"/>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44.0"/>
    <col customWidth="1" min="3" max="3" width="52.0"/>
    <col customWidth="1" min="4" max="4" width="18.0"/>
    <col customWidth="1" min="5" max="26" width="8.71"/>
  </cols>
  <sheetData>
    <row r="1">
      <c r="A1" s="1" t="s">
        <v>0</v>
      </c>
    </row>
    <row r="2">
      <c r="A2" s="8" t="s">
        <v>16</v>
      </c>
    </row>
    <row r="3" ht="30.0" customHeight="1">
      <c r="A3" s="11" t="s">
        <v>21</v>
      </c>
    </row>
    <row r="4" ht="33.75" customHeight="1">
      <c r="A4" s="13" t="s">
        <v>5</v>
      </c>
      <c r="B4" s="13" t="s">
        <v>9</v>
      </c>
      <c r="C4" s="13" t="s">
        <v>11</v>
      </c>
      <c r="D4" s="13" t="s">
        <v>13</v>
      </c>
    </row>
    <row r="5" ht="33.75" customHeight="1">
      <c r="A5" s="14" t="s">
        <v>15</v>
      </c>
      <c r="B5" s="15" t="s">
        <v>17</v>
      </c>
      <c r="C5" s="16" t="s">
        <v>28</v>
      </c>
      <c r="D5" s="16" t="s">
        <v>29</v>
      </c>
    </row>
    <row r="6" ht="33.75" customHeight="1">
      <c r="A6" s="14" t="s">
        <v>30</v>
      </c>
      <c r="B6" s="15" t="s">
        <v>31</v>
      </c>
      <c r="C6" s="16" t="s">
        <v>56</v>
      </c>
      <c r="D6" s="16" t="s">
        <v>29</v>
      </c>
    </row>
    <row r="7" ht="33.75" customHeight="1">
      <c r="A7" s="14" t="s">
        <v>33</v>
      </c>
      <c r="B7" s="15" t="s">
        <v>34</v>
      </c>
      <c r="C7" s="16" t="s">
        <v>60</v>
      </c>
      <c r="D7" s="16" t="s">
        <v>29</v>
      </c>
    </row>
    <row r="8" ht="33.75" customHeight="1">
      <c r="A8" s="14" t="s">
        <v>36</v>
      </c>
      <c r="B8" s="15" t="s">
        <v>37</v>
      </c>
      <c r="C8" s="16" t="s">
        <v>64</v>
      </c>
      <c r="D8" s="16" t="s">
        <v>29</v>
      </c>
    </row>
    <row r="9" ht="33.75" customHeight="1">
      <c r="A9" s="14" t="s">
        <v>39</v>
      </c>
      <c r="B9" s="15" t="s">
        <v>40</v>
      </c>
      <c r="C9" s="16" t="s">
        <v>69</v>
      </c>
      <c r="D9" s="16" t="s">
        <v>70</v>
      </c>
    </row>
    <row r="10" ht="33.75" customHeight="1">
      <c r="A10" s="14" t="s">
        <v>42</v>
      </c>
      <c r="B10" s="15" t="s">
        <v>43</v>
      </c>
      <c r="C10" s="16" t="s">
        <v>75</v>
      </c>
      <c r="D10" s="16" t="s">
        <v>76</v>
      </c>
    </row>
    <row r="12">
      <c r="A12" s="17" t="s">
        <v>45</v>
      </c>
    </row>
    <row r="13" ht="54.0" customHeight="1">
      <c r="A13" s="23" t="s">
        <v>80</v>
      </c>
      <c r="B13" s="19"/>
      <c r="C13" s="19"/>
      <c r="D13" s="20"/>
    </row>
    <row r="14">
      <c r="A14" s="24" t="s">
        <v>80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3:D3"/>
    <mergeCell ref="A13:D13"/>
  </mergeCells>
  <printOptions/>
  <pageMargins bottom="0.4" footer="0.0" header="0.0" left="0.3" right="0.3" top="0.4"/>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48.29"/>
    <col customWidth="1" min="3" max="3" width="22.0"/>
    <col customWidth="1" min="4" max="4" width="24.0"/>
    <col customWidth="1" min="5" max="5" width="16.0"/>
    <col customWidth="1" min="6" max="6" width="90.29"/>
    <col customWidth="1" min="7" max="26" width="8.71"/>
  </cols>
  <sheetData>
    <row r="1">
      <c r="A1" s="1" t="s">
        <v>0</v>
      </c>
    </row>
    <row r="2">
      <c r="A2" s="2" t="s">
        <v>1</v>
      </c>
    </row>
    <row r="3">
      <c r="A3" s="3" t="s">
        <v>4</v>
      </c>
    </row>
    <row r="4" ht="33.75" customHeight="1">
      <c r="A4" s="4" t="s">
        <v>5</v>
      </c>
      <c r="B4" s="4" t="s">
        <v>6</v>
      </c>
      <c r="C4" s="4" t="s">
        <v>7</v>
      </c>
      <c r="D4" s="4" t="s">
        <v>8</v>
      </c>
      <c r="E4" s="4" t="s">
        <v>10</v>
      </c>
      <c r="F4" s="4" t="s">
        <v>12</v>
      </c>
      <c r="G4" s="5" t="s">
        <v>14</v>
      </c>
    </row>
    <row r="5" ht="33.75" customHeight="1">
      <c r="A5" s="6" t="s">
        <v>15</v>
      </c>
      <c r="B5" s="7" t="s">
        <v>18</v>
      </c>
      <c r="C5" s="10" t="s">
        <v>19</v>
      </c>
      <c r="D5" s="10" t="s">
        <v>23</v>
      </c>
      <c r="E5" s="10" t="s">
        <v>26</v>
      </c>
      <c r="F5" s="10"/>
      <c r="G5" s="26" t="s">
        <v>27</v>
      </c>
    </row>
    <row r="6" ht="50.25" customHeight="1">
      <c r="A6" s="6" t="s">
        <v>30</v>
      </c>
      <c r="B6" s="10" t="s">
        <v>83</v>
      </c>
      <c r="C6" s="10" t="s">
        <v>84</v>
      </c>
      <c r="D6" s="10" t="s">
        <v>85</v>
      </c>
      <c r="E6" s="10" t="s">
        <v>48</v>
      </c>
      <c r="F6" s="28" t="s">
        <v>86</v>
      </c>
      <c r="G6" s="29" t="s">
        <v>87</v>
      </c>
    </row>
    <row r="7" ht="86.25" customHeight="1">
      <c r="A7" s="6" t="s">
        <v>33</v>
      </c>
      <c r="B7" s="10" t="s">
        <v>88</v>
      </c>
      <c r="C7" s="10" t="s">
        <v>89</v>
      </c>
      <c r="D7" s="10" t="s">
        <v>85</v>
      </c>
      <c r="E7" s="10" t="s">
        <v>48</v>
      </c>
      <c r="F7" s="28" t="s">
        <v>90</v>
      </c>
      <c r="G7" s="29" t="s">
        <v>91</v>
      </c>
    </row>
    <row r="8" ht="33.75" customHeight="1">
      <c r="A8" s="6" t="s">
        <v>36</v>
      </c>
      <c r="B8" s="30" t="s">
        <v>92</v>
      </c>
      <c r="C8" s="10" t="s">
        <v>93</v>
      </c>
      <c r="D8" s="10" t="s">
        <v>94</v>
      </c>
      <c r="E8" s="10" t="s">
        <v>48</v>
      </c>
      <c r="F8" s="28" t="s">
        <v>95</v>
      </c>
      <c r="G8" s="29" t="s">
        <v>96</v>
      </c>
    </row>
    <row r="9" ht="88.5" customHeight="1">
      <c r="A9" s="6" t="s">
        <v>39</v>
      </c>
      <c r="B9" s="31" t="s">
        <v>97</v>
      </c>
      <c r="C9" s="10" t="s">
        <v>98</v>
      </c>
      <c r="D9" s="10" t="s">
        <v>99</v>
      </c>
      <c r="E9" s="10" t="s">
        <v>48</v>
      </c>
      <c r="F9" s="32" t="s">
        <v>100</v>
      </c>
      <c r="G9" s="29" t="s">
        <v>101</v>
      </c>
    </row>
    <row r="10" ht="33.75" customHeight="1">
      <c r="A10" s="6" t="s">
        <v>42</v>
      </c>
      <c r="B10" s="33" t="s">
        <v>102</v>
      </c>
      <c r="C10" s="10" t="s">
        <v>103</v>
      </c>
      <c r="D10" s="10" t="s">
        <v>104</v>
      </c>
      <c r="E10" s="10" t="s">
        <v>26</v>
      </c>
      <c r="F10" s="10"/>
      <c r="G10" s="34" t="s">
        <v>105</v>
      </c>
    </row>
    <row r="11" ht="33.75" customHeight="1">
      <c r="A11" s="6" t="s">
        <v>78</v>
      </c>
      <c r="B11" s="31" t="s">
        <v>106</v>
      </c>
      <c r="C11" s="10" t="s">
        <v>107</v>
      </c>
      <c r="D11" s="10" t="s">
        <v>108</v>
      </c>
      <c r="E11" s="10" t="s">
        <v>48</v>
      </c>
      <c r="F11" s="10" t="s">
        <v>109</v>
      </c>
      <c r="G11" s="34" t="s">
        <v>110</v>
      </c>
    </row>
    <row r="12" ht="33.75" customHeight="1">
      <c r="A12" s="6" t="s">
        <v>79</v>
      </c>
      <c r="B12" s="37"/>
      <c r="C12" s="39"/>
      <c r="D12" s="39"/>
      <c r="E12" s="39"/>
      <c r="F12" s="39"/>
      <c r="G12" s="41"/>
    </row>
    <row r="14">
      <c r="A14" s="17" t="s">
        <v>45</v>
      </c>
    </row>
    <row r="15" ht="54.0" customHeight="1">
      <c r="A15" s="18"/>
      <c r="B15" s="19"/>
      <c r="C15" s="19"/>
      <c r="D15" s="19"/>
      <c r="E15" s="19"/>
      <c r="F15" s="20"/>
    </row>
    <row r="16">
      <c r="A16" s="21" t="s">
        <v>120</v>
      </c>
    </row>
    <row r="17" ht="21.75" customHeight="1">
      <c r="A17" s="22" t="s">
        <v>121</v>
      </c>
      <c r="C17" s="25" t="str">
        <f>IF(COUNTA(B5:B12)&gt;=6,"○ "&amp;COUNTA(B5:B12)&amp;"건 — 다음 시트로 넘어가도 된다","△ "&amp;COUNTA(B5:B12)&amp;"건 — 최소 6건. 검색 결과를 위에서부터 순서대로 연다")</f>
        <v>○ 7건 — 다음 시트로 넘어가도 된다</v>
      </c>
      <c r="D17" s="42"/>
      <c r="E17" s="42"/>
      <c r="F17" s="27"/>
    </row>
    <row r="18" ht="21.75" customHeight="1">
      <c r="A18" s="22" t="s">
        <v>130</v>
      </c>
      <c r="C18" s="25" t="str">
        <f>IF(COUNTA(B5:B12)=0,"— 아직",IF(COUNTA(C5:C12)&gt;=COUNTA(B5:B12),"○ 다 찼다","△ "&amp;(COUNTA(B5:B12)-COUNTA(C5:C12))&amp;"건이 비었다 — 글 아래 소개·문의 버튼을 본다. 글쓴이가 없으면 오늘 수업이 성립하지 않는다"))</f>
        <v>○ 다 찼다</v>
      </c>
      <c r="D18" s="42"/>
      <c r="E18" s="42"/>
      <c r="F18" s="27"/>
    </row>
    <row r="19" ht="21.75" customHeight="1">
      <c r="A19" s="22" t="s">
        <v>145</v>
      </c>
      <c r="C19" s="25" t="str">
        <f>IF(COUNTIF(E5:E12,"나온다")=0,"— 숫자가 나온 글이 아직 없다",IF(COUNTA(F5:F12)&gt;=COUNTIF(E5:E12,"나온다"),"○ 숫자마다 누가 말했는지 적혔다","△ 숫자만 적고 누가 말했는지가 빠졌다"))</f>
        <v>○ 숫자마다 누가 말했는지 적혔다</v>
      </c>
      <c r="D19" s="42"/>
      <c r="E19" s="42"/>
      <c r="F19" s="27"/>
    </row>
    <row r="20" ht="21.75" customHeight="1">
      <c r="A20" s="22" t="s">
        <v>158</v>
      </c>
      <c r="C20" s="25" t="str">
        <f>IF(COUNTA(D5:D12)=0,"— 아직",(COUNTA(D5:D12)-SUMPRODUCT(--ISNUMBER(SEARCH("파는 곳 아님",D5:D12))))&amp;"건 / "&amp;COUNTA(D5:D12)&amp;"건이 판매자다   → 이 비율이 오늘의 발견이다")</f>
        <v>7건 / 7건이 판매자다   → 이 비율이 오늘의 발견이다</v>
      </c>
      <c r="D20" s="42"/>
      <c r="E20" s="42"/>
      <c r="F20"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A19:B19"/>
    <mergeCell ref="A20:B20"/>
    <mergeCell ref="A3:F3"/>
    <mergeCell ref="A15:F15"/>
    <mergeCell ref="A17:B17"/>
    <mergeCell ref="C17:F17"/>
    <mergeCell ref="A18:B18"/>
    <mergeCell ref="C18:F18"/>
    <mergeCell ref="C19:F19"/>
    <mergeCell ref="C20:F20"/>
  </mergeCells>
  <dataValidations>
    <dataValidation type="list" allowBlank="1" showInputMessage="1" showErrorMessage="1" prompt="숫자가 나오나 - 체류시간·방문자·전환율 같은 수치가 있으면 '나온다'." sqref="E5:E12">
      <formula1>"나온다,안 나온다"</formula1>
    </dataValidation>
  </dataValidations>
  <hyperlinks>
    <hyperlink r:id="rId4" ref="G5"/>
    <hyperlink r:id="rId5" ref="G6"/>
    <hyperlink r:id="rId6" ref="G7"/>
    <hyperlink r:id="rId7" ref="G8"/>
    <hyperlink r:id="rId8" ref="G9"/>
    <hyperlink r:id="rId9" ref="G10"/>
    <hyperlink r:id="rId10" ref="G11"/>
  </hyperlinks>
  <printOptions/>
  <pageMargins bottom="0.4" footer="0.0" header="0.0" left="0.3" right="0.3" top="0.4"/>
  <pageSetup fitToHeight="0" paperSize="9" orientation="landscape"/>
  <drawing r:id="rId11"/>
  <legacy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32.0"/>
    <col customWidth="1" min="3" max="3" width="22.0"/>
    <col customWidth="1" min="4" max="4" width="24.0"/>
    <col customWidth="1" min="5" max="5" width="16.0"/>
    <col customWidth="1" min="6" max="6" width="34.0"/>
    <col customWidth="1" min="7" max="26" width="8.71"/>
  </cols>
  <sheetData>
    <row r="1">
      <c r="A1" s="1" t="s">
        <v>0</v>
      </c>
    </row>
    <row r="2">
      <c r="A2" s="8" t="s">
        <v>20</v>
      </c>
    </row>
    <row r="3">
      <c r="A3" s="11" t="s">
        <v>24</v>
      </c>
    </row>
    <row r="4" ht="33.75" customHeight="1">
      <c r="A4" s="13" t="s">
        <v>5</v>
      </c>
      <c r="B4" s="13" t="s">
        <v>6</v>
      </c>
      <c r="C4" s="13" t="s">
        <v>7</v>
      </c>
      <c r="D4" s="13" t="s">
        <v>8</v>
      </c>
      <c r="E4" s="13" t="s">
        <v>10</v>
      </c>
      <c r="F4" s="13" t="s">
        <v>12</v>
      </c>
    </row>
    <row r="5" ht="33.75" customHeight="1">
      <c r="A5" s="14" t="s">
        <v>15</v>
      </c>
      <c r="B5" s="16" t="s">
        <v>25</v>
      </c>
      <c r="C5" s="16" t="s">
        <v>46</v>
      </c>
      <c r="D5" s="16" t="s">
        <v>47</v>
      </c>
      <c r="E5" s="16" t="s">
        <v>48</v>
      </c>
      <c r="F5" s="16" t="s">
        <v>49</v>
      </c>
    </row>
    <row r="6" ht="33.75" customHeight="1">
      <c r="A6" s="14" t="s">
        <v>30</v>
      </c>
      <c r="B6" s="16" t="s">
        <v>50</v>
      </c>
      <c r="C6" s="16" t="s">
        <v>51</v>
      </c>
      <c r="D6" s="16" t="s">
        <v>52</v>
      </c>
      <c r="E6" s="16" t="s">
        <v>26</v>
      </c>
      <c r="F6" s="16" t="s">
        <v>53</v>
      </c>
    </row>
    <row r="7" ht="33.75" customHeight="1">
      <c r="A7" s="14" t="s">
        <v>33</v>
      </c>
      <c r="B7" s="16" t="s">
        <v>54</v>
      </c>
      <c r="C7" s="16" t="s">
        <v>55</v>
      </c>
      <c r="D7" s="16" t="s">
        <v>47</v>
      </c>
      <c r="E7" s="16" t="s">
        <v>48</v>
      </c>
      <c r="F7" s="16" t="s">
        <v>57</v>
      </c>
    </row>
    <row r="8" ht="33.75" customHeight="1">
      <c r="A8" s="14" t="s">
        <v>36</v>
      </c>
      <c r="B8" s="16" t="s">
        <v>58</v>
      </c>
      <c r="C8" s="16" t="s">
        <v>59</v>
      </c>
      <c r="D8" s="16" t="s">
        <v>61</v>
      </c>
      <c r="E8" s="16" t="s">
        <v>26</v>
      </c>
      <c r="F8" s="16" t="s">
        <v>62</v>
      </c>
    </row>
    <row r="9" ht="33.75" customHeight="1">
      <c r="A9" s="14" t="s">
        <v>39</v>
      </c>
      <c r="B9" s="16" t="s">
        <v>63</v>
      </c>
      <c r="C9" s="16" t="s">
        <v>65</v>
      </c>
      <c r="D9" s="16" t="s">
        <v>66</v>
      </c>
      <c r="E9" s="16" t="s">
        <v>26</v>
      </c>
      <c r="F9" s="16" t="s">
        <v>68</v>
      </c>
    </row>
    <row r="10" ht="33.75" customHeight="1">
      <c r="A10" s="14" t="s">
        <v>42</v>
      </c>
      <c r="B10" s="16" t="s">
        <v>71</v>
      </c>
      <c r="C10" s="16" t="s">
        <v>72</v>
      </c>
      <c r="D10" s="16" t="s">
        <v>73</v>
      </c>
      <c r="E10" s="16" t="s">
        <v>48</v>
      </c>
      <c r="F10" s="16" t="s">
        <v>77</v>
      </c>
    </row>
    <row r="11" ht="33.75" customHeight="1">
      <c r="A11" s="14" t="s">
        <v>78</v>
      </c>
      <c r="B11" s="16"/>
      <c r="C11" s="16"/>
      <c r="D11" s="16"/>
      <c r="E11" s="16"/>
      <c r="F11" s="16"/>
    </row>
    <row r="12" ht="33.75" customHeight="1">
      <c r="A12" s="14" t="s">
        <v>79</v>
      </c>
      <c r="B12" s="16"/>
      <c r="C12" s="16"/>
      <c r="D12" s="16"/>
      <c r="E12" s="16"/>
      <c r="F12" s="16"/>
    </row>
    <row r="14">
      <c r="A14" s="17" t="s">
        <v>45</v>
      </c>
    </row>
    <row r="15" ht="54.0" customHeight="1">
      <c r="A15" s="23" t="s">
        <v>81</v>
      </c>
      <c r="B15" s="19"/>
      <c r="C15" s="19"/>
      <c r="D15" s="19"/>
      <c r="E15" s="19"/>
      <c r="F15" s="20"/>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3:F3"/>
    <mergeCell ref="A15:F15"/>
  </mergeCells>
  <printOptions/>
  <pageMargins bottom="0.4" footer="0.0" header="0.0" left="0.3" right="0.3" top="0.4"/>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50.57"/>
    <col customWidth="1" min="3" max="3" width="59.71"/>
    <col customWidth="1" min="4" max="4" width="23.0"/>
    <col customWidth="1" min="5" max="5" width="18.0"/>
    <col customWidth="1" min="6" max="27" width="8.71"/>
  </cols>
  <sheetData>
    <row r="1">
      <c r="A1" s="1" t="s">
        <v>0</v>
      </c>
    </row>
    <row r="2">
      <c r="A2" s="2" t="s">
        <v>111</v>
      </c>
    </row>
    <row r="3">
      <c r="A3" s="3" t="s">
        <v>112</v>
      </c>
    </row>
    <row r="4" ht="33.75" customHeight="1">
      <c r="A4" s="4" t="s">
        <v>5</v>
      </c>
      <c r="B4" s="35" t="s">
        <v>113</v>
      </c>
      <c r="C4" s="35" t="s">
        <v>114</v>
      </c>
      <c r="D4" s="35" t="s">
        <v>115</v>
      </c>
      <c r="E4" s="35" t="s">
        <v>116</v>
      </c>
    </row>
    <row r="5" ht="53.25" customHeight="1">
      <c r="A5" s="36" t="s">
        <v>15</v>
      </c>
      <c r="B5" s="38" t="s">
        <v>117</v>
      </c>
      <c r="C5" s="40" t="s">
        <v>118</v>
      </c>
      <c r="D5" s="38" t="s">
        <v>119</v>
      </c>
      <c r="E5" s="38" t="s">
        <v>122</v>
      </c>
      <c r="F5" s="41"/>
      <c r="G5" s="29" t="s">
        <v>123</v>
      </c>
    </row>
    <row r="6" ht="41.25" customHeight="1">
      <c r="A6" s="36" t="s">
        <v>30</v>
      </c>
      <c r="B6" s="43" t="s">
        <v>133</v>
      </c>
      <c r="C6" s="38" t="s">
        <v>134</v>
      </c>
      <c r="D6" s="38" t="s">
        <v>119</v>
      </c>
      <c r="E6" s="38" t="s">
        <v>122</v>
      </c>
      <c r="F6" s="41"/>
      <c r="G6" s="29" t="s">
        <v>136</v>
      </c>
    </row>
    <row r="7" ht="33.75" customHeight="1">
      <c r="A7" s="36" t="s">
        <v>33</v>
      </c>
      <c r="B7" s="45" t="s">
        <v>153</v>
      </c>
      <c r="C7" s="38" t="s">
        <v>155</v>
      </c>
      <c r="D7" s="38" t="s">
        <v>119</v>
      </c>
      <c r="E7" s="38" t="s">
        <v>122</v>
      </c>
      <c r="G7" s="29" t="s">
        <v>157</v>
      </c>
    </row>
    <row r="8" ht="43.5" customHeight="1">
      <c r="A8" s="36" t="s">
        <v>36</v>
      </c>
      <c r="B8" s="38" t="s">
        <v>161</v>
      </c>
      <c r="C8" s="38" t="s">
        <v>162</v>
      </c>
      <c r="D8" s="38" t="s">
        <v>140</v>
      </c>
      <c r="E8" s="38" t="s">
        <v>122</v>
      </c>
      <c r="F8" s="41"/>
      <c r="G8" s="34" t="s">
        <v>163</v>
      </c>
    </row>
    <row r="9" ht="33.75" customHeight="1">
      <c r="A9" s="36" t="s">
        <v>39</v>
      </c>
      <c r="B9" s="38" t="s">
        <v>167</v>
      </c>
      <c r="C9" s="38" t="s">
        <v>168</v>
      </c>
      <c r="D9" s="46" t="s">
        <v>140</v>
      </c>
      <c r="E9" s="38" t="s">
        <v>170</v>
      </c>
      <c r="F9" s="41"/>
      <c r="G9" s="34" t="s">
        <v>171</v>
      </c>
    </row>
    <row r="10" ht="49.5" customHeight="1">
      <c r="A10" s="36" t="s">
        <v>42</v>
      </c>
      <c r="B10" s="38" t="s">
        <v>175</v>
      </c>
      <c r="C10" s="38" t="s">
        <v>177</v>
      </c>
      <c r="D10" s="46" t="s">
        <v>140</v>
      </c>
      <c r="E10" s="38" t="s">
        <v>122</v>
      </c>
      <c r="F10" s="41"/>
      <c r="G10" s="34" t="s">
        <v>179</v>
      </c>
    </row>
    <row r="11" ht="33.75" customHeight="1">
      <c r="A11" s="36" t="s">
        <v>78</v>
      </c>
      <c r="B11" s="46" t="s">
        <v>181</v>
      </c>
      <c r="C11" s="38" t="s">
        <v>182</v>
      </c>
      <c r="D11" s="46" t="s">
        <v>140</v>
      </c>
      <c r="E11" s="38" t="s">
        <v>122</v>
      </c>
      <c r="F11" s="47"/>
      <c r="G11" s="29" t="s">
        <v>184</v>
      </c>
    </row>
    <row r="12" ht="83.25" customHeight="1">
      <c r="A12" s="36" t="s">
        <v>79</v>
      </c>
      <c r="B12" s="46" t="s">
        <v>186</v>
      </c>
      <c r="C12" s="38" t="s">
        <v>187</v>
      </c>
      <c r="D12" s="46" t="s">
        <v>140</v>
      </c>
      <c r="E12" s="38" t="s">
        <v>122</v>
      </c>
      <c r="F12" s="47"/>
      <c r="G12" s="29" t="s">
        <v>188</v>
      </c>
    </row>
    <row r="13" ht="83.25" customHeight="1">
      <c r="A13" s="48">
        <v>9.0</v>
      </c>
      <c r="B13" s="46" t="s">
        <v>190</v>
      </c>
      <c r="C13" s="38" t="s">
        <v>191</v>
      </c>
      <c r="D13" s="46" t="s">
        <v>140</v>
      </c>
      <c r="E13" s="38" t="s">
        <v>122</v>
      </c>
      <c r="F13" s="47"/>
      <c r="G13" s="29" t="s">
        <v>192</v>
      </c>
    </row>
    <row r="14" ht="36.0" customHeight="1">
      <c r="A14" s="48">
        <v>10.0</v>
      </c>
      <c r="B14" s="38" t="s">
        <v>193</v>
      </c>
      <c r="C14" s="38" t="s">
        <v>194</v>
      </c>
      <c r="D14" s="46" t="s">
        <v>140</v>
      </c>
      <c r="E14" s="38" t="s">
        <v>122</v>
      </c>
      <c r="F14" s="47"/>
      <c r="G14" s="29" t="s">
        <v>195</v>
      </c>
    </row>
    <row r="15" ht="68.25" customHeight="1">
      <c r="A15" s="48">
        <v>11.0</v>
      </c>
      <c r="B15" s="43" t="s">
        <v>196</v>
      </c>
      <c r="C15" s="50" t="s">
        <v>197</v>
      </c>
      <c r="D15" s="46" t="s">
        <v>119</v>
      </c>
      <c r="E15" s="38" t="s">
        <v>122</v>
      </c>
      <c r="F15" s="47"/>
      <c r="G15" s="29" t="s">
        <v>198</v>
      </c>
    </row>
    <row r="16" ht="34.5" customHeight="1">
      <c r="A16" s="48">
        <v>12.0</v>
      </c>
      <c r="B16" s="43" t="s">
        <v>199</v>
      </c>
      <c r="C16" s="50" t="s">
        <v>200</v>
      </c>
      <c r="D16" s="46" t="s">
        <v>119</v>
      </c>
      <c r="E16" s="38" t="s">
        <v>144</v>
      </c>
      <c r="F16" s="47"/>
      <c r="G16" s="29" t="s">
        <v>201</v>
      </c>
      <c r="H16" s="51"/>
    </row>
    <row r="17">
      <c r="B17" s="52"/>
      <c r="C17" s="53"/>
    </row>
    <row r="18">
      <c r="A18" s="17" t="s">
        <v>45</v>
      </c>
    </row>
    <row r="19" ht="54.0" customHeight="1">
      <c r="A19" s="18"/>
      <c r="B19" s="19"/>
      <c r="C19" s="19"/>
      <c r="D19" s="19"/>
      <c r="E19" s="20"/>
    </row>
    <row r="20">
      <c r="A20" s="21" t="s">
        <v>202</v>
      </c>
    </row>
    <row r="21" ht="21.75" customHeight="1">
      <c r="A21" s="22" t="s">
        <v>121</v>
      </c>
      <c r="C21" s="25" t="str">
        <f>IF(COUNTA(B5:B12)&gt;=6,"○ "&amp;COUNTA(B5:B12)&amp;"건","△ "&amp;COUNTA(B5:B12)&amp;"건 — 최소 6건")</f>
        <v>○ 8건</v>
      </c>
      <c r="D21" s="42"/>
      <c r="E21" s="27"/>
    </row>
    <row r="22" ht="21.75" customHeight="1">
      <c r="A22" s="22" t="s">
        <v>203</v>
      </c>
      <c r="C22" s="25" t="str">
        <f>IF(COUNTA(C5:C12)&gt;=COUNTA(B5:B12),"○ 다 옮겼다","△ "&amp;(COUNTA(B5:B12)-COUNTA(C5:C12))&amp;"건이 비었다 — 요약하지 말고 쓴 사람이 쓴 대로")</f>
        <v>○ 다 옮겼다</v>
      </c>
      <c r="D22" s="42"/>
      <c r="E22" s="27"/>
    </row>
    <row r="23" ht="21.75" customHeight="1">
      <c r="A23" s="22" t="s">
        <v>206</v>
      </c>
      <c r="C23" s="25" t="str">
        <f>IF(COUNTA(D5:D12)=0,"— 아직",COUNTIF(D5:D12,"O")&amp;"건 / "&amp;COUNTA(D5:D12)&amp;"건   →   "&amp;IF(COUNTIF(D5:D12,"O")=0,"'0건'이 오늘 가장 값진 답이다. 판매자는 기술을 말하고 본 사람은 다른 걸 말한다","몇 건이든 그대로가 결과다"))</f>
        <v>3건 / 8건   →   몇 건이든 그대로가 결과다</v>
      </c>
      <c r="D23" s="42"/>
      <c r="E23" s="27"/>
    </row>
    <row r="24" ht="21.75" customHeight="1">
      <c r="A24" s="22" t="s">
        <v>185</v>
      </c>
      <c r="C24" s="25" t="str">
        <f>"기술 이야기 있음 "&amp;REPT("■",COUNTIF(D5:D12,"O"))&amp;COUNTIF(D5:D12,"O")&amp;"      기술 이야기 없음 "&amp;REPT("■",COUNTIF(D5:D12,"X"))&amp;COUNTIF(D5:D12,"X")</f>
        <v>기술 이야기 있음 ■■■3      기술 이야기 없음 ■■■■■5</v>
      </c>
      <c r="D24" s="42"/>
      <c r="E24" s="2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0">
    <mergeCell ref="A23:B23"/>
    <mergeCell ref="A24:B24"/>
    <mergeCell ref="A3:E3"/>
    <mergeCell ref="A19:E19"/>
    <mergeCell ref="A21:B21"/>
    <mergeCell ref="C21:E21"/>
    <mergeCell ref="A22:B22"/>
    <mergeCell ref="C22:E22"/>
    <mergeCell ref="C23:E23"/>
    <mergeCell ref="C24:E24"/>
  </mergeCells>
  <dataValidations>
    <dataValidation type="list" allowBlank="1" showInputMessage="1" showErrorMessage="1" prompt="「기술」 이야기가 나오나 - 'X'가 많이 나오는 것이 정상이다. 그게 오늘 찾는 것이다." sqref="D5:D16">
      <formula1>"O,X"</formula1>
    </dataValidation>
    <dataValidation type="list" allowBlank="1" showErrorMessage="1" sqref="E5:E16">
      <formula1>"유튜브 댓글,플레이브 디시인사이드,블로그"</formula1>
    </dataValidation>
  </dataValidations>
  <hyperlinks>
    <hyperlink r:id="rId1" ref="G5"/>
    <hyperlink r:id="rId2" ref="G6"/>
    <hyperlink r:id="rId3" ref="G7"/>
    <hyperlink r:id="rId4" ref="G8"/>
    <hyperlink r:id="rId5" ref="G9"/>
    <hyperlink r:id="rId6" ref="G10"/>
    <hyperlink r:id="rId7" ref="G11"/>
    <hyperlink r:id="rId8" ref="G12"/>
    <hyperlink r:id="rId9" ref="G13"/>
    <hyperlink r:id="rId10" ref="G14"/>
    <hyperlink r:id="rId11" ref="G15"/>
    <hyperlink r:id="rId12" ref="G16"/>
  </hyperlinks>
  <printOptions/>
  <pageMargins bottom="0.4" footer="0.0" header="0.0" left="0.3" right="0.3" top="0.4"/>
  <pageSetup fitToHeight="0" paperSize="9" orientation="landscape"/>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34.0"/>
    <col customWidth="1" min="3" max="3" width="50.0"/>
    <col customWidth="1" min="4" max="4" width="14.0"/>
    <col customWidth="1" min="5" max="5" width="18.0"/>
    <col customWidth="1" min="6" max="26" width="8.71"/>
  </cols>
  <sheetData>
    <row r="1">
      <c r="A1" s="1" t="s">
        <v>0</v>
      </c>
    </row>
    <row r="2">
      <c r="A2" s="8" t="s">
        <v>124</v>
      </c>
    </row>
    <row r="3">
      <c r="A3" s="11" t="s">
        <v>125</v>
      </c>
    </row>
    <row r="4" ht="33.75" customHeight="1">
      <c r="A4" s="13" t="s">
        <v>5</v>
      </c>
      <c r="B4" s="13" t="s">
        <v>113</v>
      </c>
      <c r="C4" s="13" t="s">
        <v>114</v>
      </c>
      <c r="D4" s="13" t="s">
        <v>115</v>
      </c>
      <c r="E4" s="13" t="s">
        <v>116</v>
      </c>
    </row>
    <row r="5" ht="33.75" customHeight="1">
      <c r="A5" s="14" t="s">
        <v>15</v>
      </c>
      <c r="B5" s="16" t="s">
        <v>135</v>
      </c>
      <c r="C5" s="16" t="s">
        <v>137</v>
      </c>
      <c r="D5" s="16" t="s">
        <v>119</v>
      </c>
      <c r="E5" s="16" t="s">
        <v>122</v>
      </c>
    </row>
    <row r="6" ht="33.75" customHeight="1">
      <c r="A6" s="14" t="s">
        <v>30</v>
      </c>
      <c r="B6" s="16" t="s">
        <v>138</v>
      </c>
      <c r="C6" s="16" t="s">
        <v>139</v>
      </c>
      <c r="D6" s="16" t="s">
        <v>140</v>
      </c>
      <c r="E6" s="16" t="s">
        <v>141</v>
      </c>
    </row>
    <row r="7" ht="33.75" customHeight="1">
      <c r="A7" s="14" t="s">
        <v>33</v>
      </c>
      <c r="B7" s="16" t="s">
        <v>142</v>
      </c>
      <c r="C7" s="16" t="s">
        <v>143</v>
      </c>
      <c r="D7" s="16" t="s">
        <v>140</v>
      </c>
      <c r="E7" s="16" t="s">
        <v>144</v>
      </c>
    </row>
    <row r="8" ht="33.75" customHeight="1">
      <c r="A8" s="14" t="s">
        <v>36</v>
      </c>
      <c r="B8" s="16" t="s">
        <v>146</v>
      </c>
      <c r="C8" s="16" t="s">
        <v>147</v>
      </c>
      <c r="D8" s="16" t="s">
        <v>140</v>
      </c>
      <c r="E8" s="16" t="s">
        <v>141</v>
      </c>
    </row>
    <row r="9" ht="33.75" customHeight="1">
      <c r="A9" s="14" t="s">
        <v>39</v>
      </c>
      <c r="B9" s="16" t="s">
        <v>148</v>
      </c>
      <c r="C9" s="16" t="s">
        <v>149</v>
      </c>
      <c r="D9" s="16" t="s">
        <v>140</v>
      </c>
      <c r="E9" s="16" t="s">
        <v>122</v>
      </c>
    </row>
    <row r="10" ht="33.75" customHeight="1">
      <c r="A10" s="14" t="s">
        <v>42</v>
      </c>
      <c r="B10" s="16" t="s">
        <v>150</v>
      </c>
      <c r="C10" s="16" t="s">
        <v>151</v>
      </c>
      <c r="D10" s="16" t="s">
        <v>140</v>
      </c>
      <c r="E10" s="16" t="s">
        <v>152</v>
      </c>
    </row>
    <row r="11" ht="33.75" customHeight="1">
      <c r="A11" s="14" t="s">
        <v>78</v>
      </c>
      <c r="B11" s="16"/>
      <c r="C11" s="16"/>
      <c r="D11" s="16"/>
      <c r="E11" s="16"/>
    </row>
    <row r="12" ht="33.75" customHeight="1">
      <c r="A12" s="14" t="s">
        <v>79</v>
      </c>
      <c r="B12" s="16"/>
      <c r="C12" s="16"/>
      <c r="D12" s="16"/>
      <c r="E12" s="16"/>
    </row>
    <row r="14">
      <c r="A14" s="17" t="s">
        <v>45</v>
      </c>
    </row>
    <row r="15" ht="54.0" customHeight="1">
      <c r="A15" s="23" t="s">
        <v>156</v>
      </c>
      <c r="B15" s="19"/>
      <c r="C15" s="19"/>
      <c r="D15" s="19"/>
      <c r="E15" s="20"/>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3:E3"/>
    <mergeCell ref="A15:E15"/>
  </mergeCells>
  <printOptions/>
  <pageMargins bottom="0.4" footer="0.0" header="0.0" left="0.3" right="0.3" top="0.4"/>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3" width="34.0"/>
    <col customWidth="1" min="4" max="4" width="54.0"/>
    <col customWidth="1" min="5" max="5" width="14.0"/>
    <col customWidth="1" min="6" max="26" width="8.71"/>
  </cols>
  <sheetData>
    <row r="1">
      <c r="A1" s="1" t="s">
        <v>0</v>
      </c>
    </row>
    <row r="2">
      <c r="A2" s="2" t="s">
        <v>126</v>
      </c>
    </row>
    <row r="3" ht="61.5" customHeight="1">
      <c r="A3" s="3" t="s">
        <v>127</v>
      </c>
    </row>
    <row r="4" ht="33.75" customHeight="1">
      <c r="A4" s="4" t="s">
        <v>5</v>
      </c>
      <c r="B4" s="4" t="s">
        <v>128</v>
      </c>
      <c r="C4" s="4" t="s">
        <v>129</v>
      </c>
      <c r="D4" s="4" t="s">
        <v>131</v>
      </c>
      <c r="E4" s="4" t="s">
        <v>132</v>
      </c>
    </row>
    <row r="5" ht="43.5" customHeight="1">
      <c r="A5" s="6" t="s">
        <v>15</v>
      </c>
      <c r="B5" s="9" t="str">
        <f>'0 내가 짐작한 대로'!B5</f>
        <v>국내 버추얼 엔터 관련 글은 주로 누가 쓸까</v>
      </c>
      <c r="C5" s="44" t="str">
        <f>IF('0 내가 짐작한 대로'!C5="","— 「0 내가 짐작한 대로」를 먼저 채운다",'0 내가 짐작한 대로'!C5)</f>
        <v>소속사와 연계된 기자가 적을 것 같다.</v>
      </c>
      <c r="D5" s="12" t="s">
        <v>154</v>
      </c>
      <c r="E5" s="12" t="s">
        <v>159</v>
      </c>
      <c r="F5" s="41" t="s">
        <v>160</v>
      </c>
    </row>
    <row r="6" ht="43.5" customHeight="1">
      <c r="A6" s="6" t="s">
        <v>30</v>
      </c>
      <c r="B6" s="9" t="str">
        <f>'0 내가 짐작한 대로'!B6</f>
        <v>그 글에 숫자가 나올까</v>
      </c>
      <c r="C6" s="44" t="str">
        <f>IF('0 내가 짐작한 대로'!C6="","— 「0 내가 짐작한 대로」를 먼저 채운다",'0 내가 짐작한 대로'!C6)</f>
        <v>나오지 않을 것 같다. 홍보성이 중요하기 때문에</v>
      </c>
      <c r="D6" s="12" t="s">
        <v>164</v>
      </c>
      <c r="E6" s="12" t="s">
        <v>159</v>
      </c>
    </row>
    <row r="7" ht="43.5" customHeight="1">
      <c r="A7" s="6" t="s">
        <v>33</v>
      </c>
      <c r="B7" s="9" t="str">
        <f>'0 내가 짐작한 대로'!B7</f>
        <v>본 사람 글에 '기술' 이야기가 몇 건이나 나올까</v>
      </c>
      <c r="C7" s="44" t="str">
        <f>IF('0 내가 짐작한 대로'!C7="","— 「0 내가 짐작한 대로」를 먼저 채운다",'0 내가 짐작한 대로'!C7)</f>
        <v>나올 것 같다. 버츄얼 관련 홍보를 해야하므로.</v>
      </c>
      <c r="D7" s="12" t="s">
        <v>165</v>
      </c>
      <c r="E7" s="12" t="s">
        <v>166</v>
      </c>
    </row>
    <row r="8" ht="43.5" customHeight="1">
      <c r="A8" s="6" t="s">
        <v>36</v>
      </c>
      <c r="B8" s="9" t="str">
        <f>'0 내가 짐작한 대로'!B8</f>
        <v>본 사람 글에서 가장 많이 나올 말은</v>
      </c>
      <c r="C8" s="44" t="str">
        <f>IF('0 내가 짐작한 대로'!C8="","— 「0 내가 짐작한 대로」를 먼저 채운다",'0 내가 짐작한 대로'!C8)</f>
        <v>버츄얼 아이돌의 어떤 특징이 있는지 주로 나올 것 같다.
팬층을 끌어 당겨야하므로.</v>
      </c>
      <c r="D8" s="12" t="s">
        <v>169</v>
      </c>
      <c r="E8" s="12" t="s">
        <v>159</v>
      </c>
    </row>
    <row r="9" ht="43.5" customHeight="1">
      <c r="A9" s="6" t="s">
        <v>39</v>
      </c>
      <c r="B9" s="9" t="str">
        <f>'0 내가 짐작한 대로'!B9</f>
        <v>이 판에서 돈은 주로 어디서 날까</v>
      </c>
      <c r="C9" s="44" t="str">
        <f>IF('0 내가 짐작한 대로'!C9="","— 「0 내가 짐작한 대로」를 먼저 채운다",'0 내가 짐작한 대로'!C9)</f>
        <v>여러나라의 팬층의 소비와 광고</v>
      </c>
      <c r="D9" s="12" t="s">
        <v>172</v>
      </c>
      <c r="E9" s="12" t="s">
        <v>173</v>
      </c>
    </row>
    <row r="10" ht="43.5" customHeight="1">
      <c r="A10" s="6" t="s">
        <v>42</v>
      </c>
      <c r="B10" s="9" t="str">
        <f>'0 내가 짐작한 대로'!B10</f>
        <v>이 시장은 큰가, 작은가</v>
      </c>
      <c r="C10" s="44" t="str">
        <f>IF('0 내가 짐작한 대로'!C10="","— 「0 내가 짐작한 대로」를 먼저 채운다",'0 내가 짐작한 대로'!C10)</f>
        <v>작다. 버츄얼 아이돌이 많이 발전했지만, 일부 특정 팬덤이 클뿐 아직은 아티스트 역량이 더 크기때문에</v>
      </c>
      <c r="D10" s="12" t="s">
        <v>174</v>
      </c>
      <c r="E10" s="12" t="s">
        <v>159</v>
      </c>
    </row>
    <row r="12">
      <c r="A12" s="17" t="s">
        <v>45</v>
      </c>
    </row>
    <row r="13" ht="54.0" customHeight="1">
      <c r="A13" s="18"/>
      <c r="B13" s="19"/>
      <c r="C13" s="19"/>
      <c r="D13" s="19"/>
      <c r="E13" s="20"/>
    </row>
    <row r="14">
      <c r="A14" s="21" t="s">
        <v>176</v>
      </c>
    </row>
    <row r="15" ht="21.75" customHeight="1">
      <c r="A15" s="22" t="s">
        <v>178</v>
      </c>
      <c r="C15" s="25" t="str">
        <f>IF(COUNTA(E5:E10)=6,"○ 여섯 줄 다 됐다","△ "&amp;COUNTA(E5:E10)&amp;"줄 — 못 찾은 줄도 비워 두지 말고 '못 찾음'을 고른다")</f>
        <v>○ 여섯 줄 다 됐다</v>
      </c>
      <c r="D15" s="42"/>
      <c r="E15" s="27"/>
    </row>
    <row r="16" ht="21.75" customHeight="1">
      <c r="A16" s="22" t="s">
        <v>180</v>
      </c>
      <c r="C16" s="25" t="str">
        <f>IF(COUNTA(E5:E10)=0,"— 아직",IF(COUNTIF(E5:E10,"달랐다")=0,"△ 한 줄도 안 달랐다 — 너무 후하게 본 건 아닌가. 한 줄씩 다시 본다",COUNTIF(E5:E10,"달랐다")&amp;"줄 / "&amp;COUNTA(E5:E10)&amp;"줄이 달랐다   →   안 찾아봤으면 기획서에 틀린 말이 "&amp;COUNTIF(E5:E10,"달랐다")&amp;"개 들어갔을 뻔했다"))</f>
        <v>4줄 / 6줄이 달랐다   →   안 찾아봤으면 기획서에 틀린 말이 4개 들어갔을 뻔했다</v>
      </c>
      <c r="D16" s="42"/>
      <c r="E16" s="27"/>
    </row>
    <row r="17" ht="21.75" customHeight="1">
      <c r="A17" s="22" t="s">
        <v>183</v>
      </c>
      <c r="C17" s="25" t="str">
        <f>IF(COUNTA('2 방문자가 쓴 글'!D5:D12)=0,"— 「2 방문자가 쓴 글」을 먼저 채운다",COUNTIF('2 방문자가 쓴 글'!D5:D12,"O")&amp;"건 / "&amp;COUNTA('2 방문자가 쓴 글'!D5:D12)&amp;"건   →   "&amp;IF(COUNTIF('2 방문자가 쓴 글'!D5:D12,"O")=0,"'0건'이 오늘 가장 값진 답이다 — 판매자는 기술을 말하고, 본 사람은 다른 걸 말한다","몇 건이든 그대로가 결과다"))</f>
        <v>3건 / 8건   →   몇 건이든 그대로가 결과다</v>
      </c>
      <c r="D17" s="42"/>
      <c r="E17" s="27"/>
    </row>
    <row r="18" ht="21.75" customHeight="1">
      <c r="A18" s="22" t="s">
        <v>185</v>
      </c>
      <c r="C18" s="25" t="str">
        <f>"달랐다 "&amp;REPT("■",COUNTIF(E5:E10,"달랐다"))&amp;COUNTIF(E5:E10,"달랐다")&amp;"      같았다 "&amp;REPT("■",COUNTIF(E5:E10,"같았다"))&amp;COUNTIF(E5:E10,"같았다")&amp;"      못 찾음 "&amp;REPT("■",COUNTIF(E5:E10,"못 찾음"))&amp;COUNTIF(E5:E10,"못 찾음")</f>
        <v>달랐다 ■■■■4      같았다 ■1      못 찾음 ■1</v>
      </c>
      <c r="D18" s="42"/>
      <c r="E18" s="27"/>
    </row>
    <row r="19" ht="15.75" customHeight="1"/>
    <row r="20" ht="15.75" customHeight="1">
      <c r="A20" s="17" t="s">
        <v>189</v>
      </c>
    </row>
    <row r="21" ht="43.5" customHeight="1">
      <c r="A21" s="49" t="str">
        <f>IF(OR(COUNTA(E5:E10)=0,COUNTA('2 방문자가 쓴 글'!D5:D12)=0),"— 위 두 집계가 나오면 여기에 문장이 만들어진다","제 짐작 여섯 줄 중 "&amp;COUNTIF(E5:E10,"달랐다")&amp;"줄이 달랐고, 후기 "&amp;COUNTA('2 방문자가 쓴 글'!D5:D12)&amp;"건 중 기술을 말한 사람은 "&amp;COUNTIF('2 방문자가 쓴 글'!D5:D12,"O")&amp;"건이었습니다.")</f>
        <v>제 짐작 여섯 줄 중 4줄이 달랐고, 후기 8건 중 기술을 말한 사람은 3건이었습니다.</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1">
    <mergeCell ref="A17:B17"/>
    <mergeCell ref="A18:B18"/>
    <mergeCell ref="C18:E18"/>
    <mergeCell ref="A21:E21"/>
    <mergeCell ref="A3:E3"/>
    <mergeCell ref="A13:E13"/>
    <mergeCell ref="A15:B15"/>
    <mergeCell ref="C15:E15"/>
    <mergeCell ref="A16:B16"/>
    <mergeCell ref="C16:E16"/>
    <mergeCell ref="C17:E17"/>
  </mergeCells>
  <dataValidations>
    <dataValidation type="list" allowBlank="1" showInputMessage="1" showErrorMessage="1" prompt="같았나 달랐나 - 얼추 맞으면 '같았다', 어긋나면 '달랐다', 아직 못 찾았으면 '못 찾음'." sqref="E5:E10">
      <formula1>"같았다,달랐다,못 찾음"</formula1>
    </dataValidation>
  </dataValidations>
  <printOptions/>
  <pageMargins bottom="0.4" footer="0.0" header="0.0" left="0.3" right="0.3" top="0.4"/>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3" width="34.0"/>
    <col customWidth="1" min="4" max="4" width="54.0"/>
    <col customWidth="1" min="5" max="5" width="14.0"/>
    <col customWidth="1" min="6" max="26" width="8.71"/>
  </cols>
  <sheetData>
    <row r="1">
      <c r="A1" s="1" t="s">
        <v>0</v>
      </c>
    </row>
    <row r="2">
      <c r="A2" s="8" t="s">
        <v>204</v>
      </c>
    </row>
    <row r="3" ht="43.5" customHeight="1">
      <c r="A3" s="11" t="s">
        <v>205</v>
      </c>
    </row>
    <row r="4" ht="33.75" customHeight="1">
      <c r="A4" s="13" t="s">
        <v>5</v>
      </c>
      <c r="B4" s="13" t="s">
        <v>128</v>
      </c>
      <c r="C4" s="13" t="s">
        <v>129</v>
      </c>
      <c r="D4" s="13" t="s">
        <v>131</v>
      </c>
      <c r="E4" s="13" t="s">
        <v>132</v>
      </c>
    </row>
    <row r="5" ht="61.5" customHeight="1">
      <c r="A5" s="14" t="s">
        <v>15</v>
      </c>
      <c r="B5" s="16" t="s">
        <v>17</v>
      </c>
      <c r="C5" s="16" t="s">
        <v>28</v>
      </c>
      <c r="D5" s="16" t="s">
        <v>207</v>
      </c>
      <c r="E5" s="16" t="s">
        <v>159</v>
      </c>
    </row>
    <row r="6" ht="61.5" customHeight="1">
      <c r="A6" s="14" t="s">
        <v>30</v>
      </c>
      <c r="B6" s="16" t="s">
        <v>31</v>
      </c>
      <c r="C6" s="16" t="s">
        <v>56</v>
      </c>
      <c r="D6" s="16" t="s">
        <v>208</v>
      </c>
      <c r="E6" s="16" t="s">
        <v>159</v>
      </c>
    </row>
    <row r="7" ht="61.5" customHeight="1">
      <c r="A7" s="14" t="s">
        <v>33</v>
      </c>
      <c r="B7" s="16" t="s">
        <v>34</v>
      </c>
      <c r="C7" s="16" t="s">
        <v>60</v>
      </c>
      <c r="D7" s="16" t="s">
        <v>209</v>
      </c>
      <c r="E7" s="16" t="s">
        <v>159</v>
      </c>
    </row>
    <row r="8" ht="61.5" customHeight="1">
      <c r="A8" s="14" t="s">
        <v>36</v>
      </c>
      <c r="B8" s="16" t="s">
        <v>37</v>
      </c>
      <c r="C8" s="16" t="s">
        <v>64</v>
      </c>
      <c r="D8" s="16" t="s">
        <v>210</v>
      </c>
      <c r="E8" s="16" t="s">
        <v>159</v>
      </c>
    </row>
    <row r="9" ht="61.5" customHeight="1">
      <c r="A9" s="14" t="s">
        <v>39</v>
      </c>
      <c r="B9" s="16" t="s">
        <v>40</v>
      </c>
      <c r="C9" s="16" t="s">
        <v>69</v>
      </c>
      <c r="D9" s="16" t="s">
        <v>211</v>
      </c>
      <c r="E9" s="16" t="s">
        <v>159</v>
      </c>
    </row>
    <row r="10" ht="78.0" customHeight="1">
      <c r="A10" s="14" t="s">
        <v>42</v>
      </c>
      <c r="B10" s="16" t="s">
        <v>43</v>
      </c>
      <c r="C10" s="16" t="s">
        <v>75</v>
      </c>
      <c r="D10" s="16" t="s">
        <v>212</v>
      </c>
      <c r="E10" s="16" t="s">
        <v>173</v>
      </c>
    </row>
    <row r="12">
      <c r="A12" s="17" t="s">
        <v>45</v>
      </c>
    </row>
    <row r="13" ht="54.0" customHeight="1">
      <c r="A13" s="23" t="s">
        <v>213</v>
      </c>
      <c r="B13" s="19"/>
      <c r="C13" s="19"/>
      <c r="D13" s="19"/>
      <c r="E13" s="20"/>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3:E3"/>
    <mergeCell ref="A13:E13"/>
  </mergeCells>
  <printOptions/>
  <pageMargins bottom="0.4" footer="0.0" header="0.0" left="0.3" right="0.3" top="0.4"/>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40.0"/>
    <col customWidth="1" min="3" max="3" width="58.0"/>
    <col customWidth="1" min="4" max="26" width="8.71"/>
  </cols>
  <sheetData>
    <row r="1">
      <c r="A1" s="1" t="s">
        <v>0</v>
      </c>
    </row>
    <row r="2">
      <c r="A2" s="2" t="s">
        <v>214</v>
      </c>
    </row>
    <row r="3" ht="61.5" customHeight="1">
      <c r="A3" s="3" t="s">
        <v>215</v>
      </c>
    </row>
    <row r="4" ht="33.75" customHeight="1">
      <c r="A4" s="4" t="s">
        <v>216</v>
      </c>
      <c r="B4" s="4" t="s">
        <v>217</v>
      </c>
      <c r="C4" s="4" t="s">
        <v>218</v>
      </c>
    </row>
    <row r="5" ht="73.5" customHeight="1">
      <c r="A5" s="6" t="s">
        <v>219</v>
      </c>
      <c r="B5" s="54" t="s">
        <v>220</v>
      </c>
      <c r="C5" s="55" t="s">
        <v>221</v>
      </c>
      <c r="D5" s="29" t="s">
        <v>222</v>
      </c>
    </row>
    <row r="6" ht="128.25" customHeight="1">
      <c r="A6" s="6" t="s">
        <v>223</v>
      </c>
      <c r="B6" s="54" t="s">
        <v>224</v>
      </c>
      <c r="C6" s="55" t="s">
        <v>225</v>
      </c>
      <c r="D6" s="29" t="s">
        <v>226</v>
      </c>
    </row>
    <row r="7" ht="45.75" customHeight="1">
      <c r="A7" s="6" t="s">
        <v>227</v>
      </c>
      <c r="B7" s="54" t="s">
        <v>228</v>
      </c>
      <c r="C7" s="55" t="s">
        <v>229</v>
      </c>
    </row>
    <row r="9">
      <c r="A9" s="17" t="s">
        <v>45</v>
      </c>
    </row>
    <row r="10" ht="54.0" customHeight="1">
      <c r="A10" s="18"/>
      <c r="B10" s="19"/>
      <c r="C10" s="20"/>
    </row>
    <row r="12">
      <c r="A12" s="21" t="s">
        <v>230</v>
      </c>
    </row>
    <row r="13" ht="21.75" customHeight="1">
      <c r="A13" s="22" t="s">
        <v>231</v>
      </c>
      <c r="B13" s="25" t="str">
        <f>IF(COUNTA(C5:C7)=3,"○ 세 칸","△ "&amp;(3-COUNTA(C5:C7))&amp;"칸 남았다 — 모르면 '? + 확인 필요'를 적는다")</f>
        <v>○ 세 칸</v>
      </c>
      <c r="C13" s="27"/>
    </row>
    <row r="14" ht="21.75" customHeight="1">
      <c r="A14" s="22" t="s">
        <v>232</v>
      </c>
      <c r="B14" s="25" t="str">
        <f>IF(C6="","△ 아직 비었다",IF(LEN(C6)&lt;20,"△ 회사 이름만 적은 건 아닌가 — 이름 옆에 «무엇으로 버는가»를 붙인다","○ 적혔다"))</f>
        <v>○ 적혔다</v>
      </c>
      <c r="C14" s="27"/>
    </row>
    <row r="15" ht="21.75" customHeight="1">
      <c r="A15" s="22" t="s">
        <v>233</v>
      </c>
      <c r="B15" s="25" t="str">
        <f>IF(COUNTA(C5:C7)&lt;3,"— 아직",IF((N(ISNUMBER(SEARCH("건",C5&amp;C6&amp;C7)))+N(ISNUMBER(SEARCH("출처",C5&amp;C6&amp;C7)))+N(ISNUMBER(SEARCH("확인",C5&amp;C6&amp;C7)))+N(ISNUMBER(SEARCH("공시",C5&amp;C6&amp;C7)))+N(ISNUMBER(SEARCH("댓글",C5&amp;C6&amp;C7))))&gt;0,"○ 어디서 온 것인지 보인다","△ 찾아온 근거가 안 보인다 — 어느 시트·몇 건에서 왔는지 적는다"))</f>
        <v>○ 어디서 온 것인지 보인다</v>
      </c>
      <c r="C15" s="27"/>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5">
    <mergeCell ref="A3:C3"/>
    <mergeCell ref="A10:C10"/>
    <mergeCell ref="B13:C13"/>
    <mergeCell ref="B14:C14"/>
    <mergeCell ref="B15:C15"/>
  </mergeCells>
  <hyperlinks>
    <hyperlink r:id="rId1" ref="D5"/>
    <hyperlink r:id="rId2" ref="D6"/>
  </hyperlinks>
  <printOptions/>
  <pageMargins bottom="0.4" footer="0.0" header="0.0" left="0.3" right="0.3" top="0.4"/>
  <pageSetup fitToHeight="0" paperSize="9"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40.0"/>
    <col customWidth="1" min="3" max="3" width="58.0"/>
    <col customWidth="1" min="4" max="26" width="8.71"/>
  </cols>
  <sheetData>
    <row r="1">
      <c r="A1" s="1" t="s">
        <v>0</v>
      </c>
    </row>
    <row r="2">
      <c r="A2" s="8" t="s">
        <v>234</v>
      </c>
    </row>
    <row r="3" ht="30.0" customHeight="1">
      <c r="A3" s="11" t="s">
        <v>235</v>
      </c>
    </row>
    <row r="4" ht="33.75" customHeight="1">
      <c r="A4" s="13" t="s">
        <v>216</v>
      </c>
      <c r="B4" s="13" t="s">
        <v>217</v>
      </c>
      <c r="C4" s="13" t="s">
        <v>218</v>
      </c>
    </row>
    <row r="5" ht="78.0" customHeight="1">
      <c r="A5" s="14" t="s">
        <v>219</v>
      </c>
      <c r="B5" s="16" t="s">
        <v>220</v>
      </c>
      <c r="C5" s="16" t="s">
        <v>236</v>
      </c>
    </row>
    <row r="6" ht="78.0" customHeight="1">
      <c r="A6" s="14" t="s">
        <v>223</v>
      </c>
      <c r="B6" s="16" t="s">
        <v>224</v>
      </c>
      <c r="C6" s="16" t="s">
        <v>237</v>
      </c>
    </row>
    <row r="7" ht="78.0" customHeight="1">
      <c r="A7" s="14" t="s">
        <v>227</v>
      </c>
      <c r="B7" s="16" t="s">
        <v>228</v>
      </c>
      <c r="C7" s="16" t="s">
        <v>238</v>
      </c>
    </row>
    <row r="9">
      <c r="A9" s="17" t="s">
        <v>45</v>
      </c>
    </row>
    <row r="10" ht="54.0" customHeight="1">
      <c r="A10" s="23" t="s">
        <v>239</v>
      </c>
      <c r="B10" s="19"/>
      <c r="C10" s="20"/>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
    <mergeCell ref="A3:C3"/>
    <mergeCell ref="A10:C10"/>
  </mergeCells>
  <printOptions/>
  <pageMargins bottom="0.4" footer="0.0" header="0.0" left="0.3" right="0.3" top="0.4"/>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2.0"/>
    <col customWidth="1" min="2" max="2" width="88.0"/>
    <col customWidth="1" min="3" max="26" width="8.71"/>
  </cols>
  <sheetData>
    <row r="1">
      <c r="A1" s="1" t="s">
        <v>0</v>
      </c>
    </row>
    <row r="2">
      <c r="A2" s="2" t="s">
        <v>240</v>
      </c>
    </row>
    <row r="3">
      <c r="A3" s="3" t="s">
        <v>241</v>
      </c>
    </row>
    <row r="4" ht="33.75" customHeight="1">
      <c r="A4" s="4" t="s">
        <v>242</v>
      </c>
      <c r="B4" s="4" t="s">
        <v>243</v>
      </c>
    </row>
    <row r="5" ht="39.75" customHeight="1">
      <c r="A5" s="6" t="s">
        <v>244</v>
      </c>
      <c r="B5" s="38" t="s">
        <v>245</v>
      </c>
    </row>
    <row r="6" ht="39.75" customHeight="1">
      <c r="A6" s="6" t="s">
        <v>246</v>
      </c>
      <c r="B6" s="55" t="s">
        <v>247</v>
      </c>
    </row>
    <row r="7" ht="39.75" customHeight="1">
      <c r="A7" s="6" t="s">
        <v>248</v>
      </c>
      <c r="B7" s="55" t="s">
        <v>249</v>
      </c>
    </row>
    <row r="8" ht="39.75" customHeight="1">
      <c r="A8" s="6" t="s">
        <v>250</v>
      </c>
      <c r="B8" s="55" t="s">
        <v>251</v>
      </c>
    </row>
    <row r="9" ht="39.75" customHeight="1">
      <c r="A9" s="6" t="s">
        <v>252</v>
      </c>
      <c r="B9" s="55" t="s">
        <v>253</v>
      </c>
    </row>
    <row r="10" ht="39.75" customHeight="1">
      <c r="A10" s="6" t="s">
        <v>254</v>
      </c>
      <c r="B10" s="55" t="s">
        <v>255</v>
      </c>
    </row>
    <row r="12">
      <c r="A12" s="17" t="s">
        <v>45</v>
      </c>
    </row>
    <row r="13" ht="54.0" customHeight="1">
      <c r="A13" s="18"/>
      <c r="B13" s="20"/>
    </row>
    <row r="14">
      <c r="A14" s="17" t="s">
        <v>258</v>
      </c>
    </row>
    <row r="15" ht="129.0" customHeight="1">
      <c r="A15" s="56" t="str">
        <f>IF(COUNTA(B5:B10)&lt;6,"— 위 여섯 칸을 다 채우면 여기에 문장이 만들어진다","판매자는 "&amp;B7&amp;" 라고 말한다(출처: "&amp;B8&amp;"). 본 사람들은 "&amp;B5&amp;" 라고 말한다(출처: "&amp;B6&amp;"). 두 말은 "&amp;B9&amp;" 에서 갈라진다.   그래서 나는 이 시장을 "&amp;B10&amp;" 라고 본다.")</f>
        <v>판매자는 실제로는 촘촘한 세계관 형성과 스토리 개발, 실재 사람과의 소통과 같은 진정성과 상호작용성, 윤리적인 판단과 책임 등의 요소들이 더 중요하다는 점을 시사함. 라고 말한다(출처: 한국 콘텐츠 진흥원). 본 사람들은 버추얼 캐릭터링 기술에 대한 자세한 설명이 매우 인상적이었습니다. 특히 3D 그래픽스와 모션 애니메이션의 결합이 캐릭터에 생동감을 부여하는 과정이 흥미로웠습니다. 
앞으로 이 기술이 어떻게 발전할지 기대됩니다!
 라고 말한다(출처: 유튜브  및 블로그). 두 말은 본사람은 버추얼 아이돌의 기술을 말하고 판매자는 실제 사람과의 소통과 상호작용의 중요성을 설명함. 에서 갈라진다.   그래서 나는 이 시장을 기술뿐만 아니라 하나의 세계관으로 연결하는 커뮤니케이션을 강조한다. 라고 본다.</v>
      </c>
      <c r="B15" s="20"/>
    </row>
    <row r="17" ht="15.75" customHeight="1">
      <c r="A17" s="21" t="s">
        <v>265</v>
      </c>
    </row>
    <row r="18" ht="21.75" customHeight="1">
      <c r="A18" s="22" t="s">
        <v>266</v>
      </c>
      <c r="B18" s="57" t="str">
        <f>IF(COUNTA(B5:B10)=6,"○ 문장이 만들어졌다","△ "&amp;(6-COUNTA(B5:B10))&amp;"칸 남았다")</f>
        <v>○ 문장이 만들어졌다</v>
      </c>
    </row>
    <row r="19" ht="21.75" customHeight="1">
      <c r="A19" s="22" t="s">
        <v>267</v>
      </c>
      <c r="B19" s="57" t="str">
        <f>IF(COUNTA(B6,B8)&lt;2,"△ 출처 칸이 비었다",IF(AND(LEN(B6)&gt;=6,LEN(B8)&gt;=6),"○ 출처가 붙었다","△ 너무 짧다 — 어디서·누가·언제·무엇을 파는 곳인지 적는다"))</f>
        <v>○ 출처가 붙었다</v>
      </c>
    </row>
    <row r="20" ht="21.75" customHeight="1">
      <c r="A20" s="22" t="s">
        <v>268</v>
      </c>
      <c r="B20" s="57" t="str">
        <f>IF(B8="","△ 아직 비었다",IF((N(ISNUMBER(SEARCH("파는",B8)))+N(ISNUMBER(SEARCH("제작",B8)))+N(ISNUMBER(SEARCH("판매",B8)))+N(ISNUMBER(SEARCH("대행",B8)))+N(ISNUMBER(SEARCH("만드",B8))))&gt;0,"○ 적혔다","△ 이 곳이 무엇을 파는 곳인지가 빠졌다 — 오늘 핵심 칸이다"))</f>
        <v>△ 이 곳이 무엇을 파는 곳인지가 빠졌다 — 오늘 핵심 칸이다</v>
      </c>
    </row>
    <row r="21" ht="21.75" customHeight="1">
      <c r="A21" s="22" t="s">
        <v>269</v>
      </c>
      <c r="B21" s="57" t="str">
        <f>IF(B9="","△ 비었다 — 여기가 오늘의 핵심이다",IF(LEN(B9)&lt;10,"△ 너무 짧다 — 두 말이 «어디서» 갈라지는지 적는다","○ 차이가 한 줄로 잡혔다"))</f>
        <v>○ 차이가 한 줄로 잡혔다</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
    <mergeCell ref="A3:B3"/>
    <mergeCell ref="A13:B13"/>
    <mergeCell ref="A15:B15"/>
  </mergeCells>
  <printOptions/>
  <pageMargins bottom="0.4" footer="0.0" header="0.0" left="0.3" right="0.3" top="0.4"/>
  <pageSetup fitToHeight="0"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2.0"/>
    <col customWidth="1" min="2" max="2" width="88.0"/>
    <col customWidth="1" min="3" max="26" width="8.71"/>
  </cols>
  <sheetData>
    <row r="1">
      <c r="A1" s="1" t="s">
        <v>0</v>
      </c>
    </row>
    <row r="2">
      <c r="A2" s="8" t="s">
        <v>256</v>
      </c>
    </row>
    <row r="3" ht="30.0" customHeight="1">
      <c r="A3" s="11" t="s">
        <v>257</v>
      </c>
    </row>
    <row r="4" ht="33.75" customHeight="1">
      <c r="A4" s="13" t="s">
        <v>242</v>
      </c>
      <c r="B4" s="13" t="s">
        <v>243</v>
      </c>
    </row>
    <row r="5" ht="39.75" customHeight="1">
      <c r="A5" s="14" t="s">
        <v>244</v>
      </c>
      <c r="B5" s="16" t="s">
        <v>147</v>
      </c>
    </row>
    <row r="6" ht="39.75" customHeight="1">
      <c r="A6" s="14" t="s">
        <v>246</v>
      </c>
      <c r="B6" s="16" t="s">
        <v>259</v>
      </c>
    </row>
    <row r="7" ht="39.75" customHeight="1">
      <c r="A7" s="14" t="s">
        <v>248</v>
      </c>
      <c r="B7" s="16" t="s">
        <v>260</v>
      </c>
    </row>
    <row r="8" ht="39.75" customHeight="1">
      <c r="A8" s="14" t="s">
        <v>250</v>
      </c>
      <c r="B8" s="16" t="s">
        <v>261</v>
      </c>
    </row>
    <row r="9" ht="39.75" customHeight="1">
      <c r="A9" s="14" t="s">
        <v>252</v>
      </c>
      <c r="B9" s="16" t="s">
        <v>262</v>
      </c>
    </row>
    <row r="10" ht="61.5" customHeight="1">
      <c r="A10" s="14" t="s">
        <v>254</v>
      </c>
      <c r="B10" s="16" t="s">
        <v>263</v>
      </c>
    </row>
    <row r="12">
      <c r="A12" s="17" t="s">
        <v>45</v>
      </c>
    </row>
    <row r="13" ht="54.0" customHeight="1">
      <c r="A13" s="23" t="s">
        <v>264</v>
      </c>
      <c r="B13" s="20"/>
    </row>
    <row r="14">
      <c r="A14" s="17" t="s">
        <v>258</v>
      </c>
    </row>
    <row r="15" ht="75.75" customHeight="1">
      <c r="A15" s="56" t="str">
        <f>IF(COUNTA(B5:B10)&lt;6,"— 위 여섯 칸을 다 채우면 여기에 문장이 만들어진다","판매자는 "&amp;B7&amp;" 라고 말한다(출처: "&amp;B8&amp;"). 본 사람들은 "&amp;B5&amp;" 라고 말한다(출처: "&amp;B6&amp;"). 두 말은 "&amp;B9&amp;" 에서 갈라진다.   그래서 나는 이 시장을 "&amp;B10&amp;" 라고 본다.")</f>
        <v>판매자는 "실시간 렌더링 기술이 시장을 연 40% 키운다" 라고 말한다(출처: ○○스튜디오 블로그 · 버추얼 휴먼을 만들어 파는 곳 · 2026.5). 본 사람들은 "결국 사람이 하는 거라 방송인 매력이 크다" 라고 말한다(출처: 유튜브 댓글 · 커뮤니티 6건 · 2026.9 확인). 두 말은 판매자는 «기술»을 말하고, 본 사람은 «사람과 세계관»을 말한다 에서 갈라진다.   그래서 나는 이 시장을 기술이 아니라 «누가 하느냐»로 갈리는 시장으로 본다 라고 본다.</v>
      </c>
      <c r="B15" s="20"/>
    </row>
    <row r="17" ht="15.75" customHeight="1">
      <c r="A17" s="21" t="s">
        <v>265</v>
      </c>
    </row>
    <row r="18" ht="21.75" customHeight="1">
      <c r="A18" s="22" t="s">
        <v>266</v>
      </c>
      <c r="B18" s="57" t="str">
        <f>IF(COUNTA(B5:B10)=6,"○ 문장이 만들어졌다","△ "&amp;(6-COUNTA(B5:B10))&amp;"칸 남았다")</f>
        <v>○ 문장이 만들어졌다</v>
      </c>
    </row>
    <row r="19" ht="21.75" customHeight="1">
      <c r="A19" s="22" t="s">
        <v>267</v>
      </c>
      <c r="B19" s="57" t="str">
        <f>IF(COUNTA(B6,B8)&lt;2,"△ 출처 칸이 비었다",IF(AND(LEN(B6)&gt;=6,LEN(B8)&gt;=6),"○ 출처가 붙었다","△ 너무 짧다 — 어디서·누가·언제·무엇을 파는 곳인지 적는다"))</f>
        <v>○ 출처가 붙었다</v>
      </c>
    </row>
    <row r="20" ht="21.75" customHeight="1">
      <c r="A20" s="22" t="s">
        <v>268</v>
      </c>
      <c r="B20" s="57" t="str">
        <f>IF(B8="","△ 아직 비었다",IF((N(ISNUMBER(SEARCH("파는",B8)))+N(ISNUMBER(SEARCH("제작",B8)))+N(ISNUMBER(SEARCH("판매",B8)))+N(ISNUMBER(SEARCH("대행",B8)))+N(ISNUMBER(SEARCH("만드",B8))))&gt;0,"○ 적혔다","△ 이 곳이 무엇을 파는 곳인지가 빠졌다 — 오늘 핵심 칸이다"))</f>
        <v>○ 적혔다</v>
      </c>
    </row>
    <row r="21" ht="21.75" customHeight="1">
      <c r="A21" s="22" t="s">
        <v>269</v>
      </c>
      <c r="B21" s="57" t="str">
        <f>IF(B9="","△ 비었다 — 여기가 오늘의 핵심이다",IF(LEN(B9)&lt;10,"△ 너무 짧다 — 두 말이 «어디서» 갈라지는지 적는다","○ 차이가 한 줄로 잡혔다"))</f>
        <v>○ 차이가 한 줄로 잡혔다</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
    <mergeCell ref="A3:B3"/>
    <mergeCell ref="A13:B13"/>
    <mergeCell ref="A15:B15"/>
  </mergeCells>
  <printOptions/>
  <pageMargins bottom="0.4" footer="0.0" header="0.0" left="0.3" right="0.3" top="0.4"/>
  <pageSetup fitToHeight="0"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2.0"/>
    <col customWidth="1" min="2" max="2" width="88.0"/>
    <col customWidth="1" min="3" max="26" width="8.71"/>
  </cols>
  <sheetData>
    <row r="1">
      <c r="A1" s="1" t="s">
        <v>0</v>
      </c>
    </row>
    <row r="2">
      <c r="A2" s="8" t="s">
        <v>256</v>
      </c>
    </row>
    <row r="3" ht="30.0" customHeight="1">
      <c r="A3" s="11" t="s">
        <v>257</v>
      </c>
    </row>
    <row r="4" ht="33.75" customHeight="1">
      <c r="A4" s="13" t="s">
        <v>242</v>
      </c>
      <c r="B4" s="13" t="s">
        <v>243</v>
      </c>
    </row>
    <row r="5" ht="39.75" customHeight="1">
      <c r="A5" s="14" t="s">
        <v>244</v>
      </c>
      <c r="B5" s="16" t="s">
        <v>147</v>
      </c>
    </row>
    <row r="6" ht="39.75" customHeight="1">
      <c r="A6" s="14" t="s">
        <v>246</v>
      </c>
      <c r="B6" s="16" t="s">
        <v>259</v>
      </c>
    </row>
    <row r="7" ht="39.75" customHeight="1">
      <c r="A7" s="14" t="s">
        <v>248</v>
      </c>
      <c r="B7" s="16" t="s">
        <v>260</v>
      </c>
    </row>
    <row r="8" ht="39.75" customHeight="1">
      <c r="A8" s="14" t="s">
        <v>250</v>
      </c>
      <c r="B8" s="16" t="s">
        <v>261</v>
      </c>
    </row>
    <row r="9" ht="39.75" customHeight="1">
      <c r="A9" s="14" t="s">
        <v>252</v>
      </c>
      <c r="B9" s="16" t="s">
        <v>262</v>
      </c>
    </row>
    <row r="10" ht="61.5" customHeight="1">
      <c r="A10" s="14" t="s">
        <v>254</v>
      </c>
      <c r="B10" s="16" t="s">
        <v>263</v>
      </c>
    </row>
    <row r="12">
      <c r="A12" s="17" t="s">
        <v>45</v>
      </c>
    </row>
    <row r="13" ht="54.0" customHeight="1">
      <c r="A13" s="23" t="s">
        <v>264</v>
      </c>
      <c r="B13" s="20"/>
    </row>
    <row r="14">
      <c r="A14" s="17" t="s">
        <v>258</v>
      </c>
    </row>
    <row r="15" ht="75.75" customHeight="1">
      <c r="A15" s="56" t="str">
        <f>IF(COUNTA(B5:B10)&lt;6,"— 위 여섯 칸을 다 채우면 여기에 문장이 만들어진다","판매자는 "&amp;B7&amp;" 라고 말한다(출처: "&amp;B8&amp;"). 본 사람들은 "&amp;B5&amp;" 라고 말한다(출처: "&amp;B6&amp;"). 두 말은 "&amp;B9&amp;" 에서 갈라진다.   그래서 나는 이 시장을 "&amp;B10&amp;" 라고 본다.")</f>
        <v>판매자는 "실시간 렌더링 기술이 시장을 연 40% 키운다" 라고 말한다(출처: ○○스튜디오 블로그 · 버추얼 휴먼을 만들어 파는 곳 · 2026.5). 본 사람들은 "결국 사람이 하는 거라 방송인 매력이 크다" 라고 말한다(출처: 유튜브 댓글 · 커뮤니티 6건 · 2026.9 확인). 두 말은 판매자는 «기술»을 말하고, 본 사람은 «사람과 세계관»을 말한다 에서 갈라진다.   그래서 나는 이 시장을 기술이 아니라 «누가 하느냐»로 갈리는 시장으로 본다 라고 본다.</v>
      </c>
      <c r="B15" s="20"/>
    </row>
    <row r="17" ht="15.75" customHeight="1">
      <c r="A17" s="21" t="s">
        <v>265</v>
      </c>
    </row>
    <row r="18" ht="21.75" customHeight="1">
      <c r="A18" s="22" t="s">
        <v>266</v>
      </c>
      <c r="B18" s="57" t="str">
        <f>IF(COUNTA(B5:B10)=6,"○ 문장이 만들어졌다","△ "&amp;(6-COUNTA(B5:B10))&amp;"칸 남았다")</f>
        <v>○ 문장이 만들어졌다</v>
      </c>
    </row>
    <row r="19" ht="21.75" customHeight="1">
      <c r="A19" s="22" t="s">
        <v>267</v>
      </c>
      <c r="B19" s="57" t="str">
        <f>IF(COUNTA(B6,B8)&lt;2,"△ 출처 칸이 비었다",IF(AND(LEN(B6)&gt;=6,LEN(B8)&gt;=6),"○ 출처가 붙었다","△ 너무 짧다 — 어디서·누가·언제·무엇을 파는 곳인지 적는다"))</f>
        <v>○ 출처가 붙었다</v>
      </c>
    </row>
    <row r="20" ht="21.75" customHeight="1">
      <c r="A20" s="22" t="s">
        <v>268</v>
      </c>
      <c r="B20" s="57" t="str">
        <f>IF(B8="","△ 아직 비었다",IF((N(ISNUMBER(SEARCH("파는",B8)))+N(ISNUMBER(SEARCH("제작",B8)))+N(ISNUMBER(SEARCH("판매",B8)))+N(ISNUMBER(SEARCH("대행",B8)))+N(ISNUMBER(SEARCH("만드",B8))))&gt;0,"○ 적혔다","△ 이 곳이 무엇을 파는 곳인지가 빠졌다 — 오늘 핵심 칸이다"))</f>
        <v>○ 적혔다</v>
      </c>
    </row>
    <row r="21" ht="21.75" customHeight="1">
      <c r="A21" s="22" t="s">
        <v>269</v>
      </c>
      <c r="B21" s="57" t="str">
        <f>IF(B9="","△ 비었다 — 여기가 오늘의 핵심이다",IF(LEN(B9)&lt;10,"△ 너무 짧다 — 두 말이 «어디서» 갈라지는지 적는다","○ 차이가 한 줄로 잡혔다"))</f>
        <v>○ 차이가 한 줄로 잡혔다</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
    <mergeCell ref="A3:B3"/>
    <mergeCell ref="A13:B13"/>
    <mergeCell ref="A15:B15"/>
  </mergeCells>
  <printOptions/>
  <pageMargins bottom="0.4" footer="0.0" header="0.0" left="0.3" right="0.3" top="0.4"/>
  <pageSetup fitToHeight="0" paperSize="9" orientation="landscape"/>
  <drawing r:id="rId1"/>
</worksheet>
</file>