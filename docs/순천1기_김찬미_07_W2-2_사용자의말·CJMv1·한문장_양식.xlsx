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0 내 짐작" sheetId="1" r:id="rId5"/>
    <sheet state="visible" name="0 내 짐작 예시" sheetId="2" r:id="rId6"/>
    <sheet state="visible" name="1 사용자의 말 8건" sheetId="3" r:id="rId7"/>
    <sheet state="visible" name="1 사용자의 말 8건 예시" sheetId="4" r:id="rId8"/>
    <sheet state="visible" name="2 CJM v1" sheetId="5" r:id="rId9"/>
    <sheet state="visible" name="2 CJM v1 예시" sheetId="6" r:id="rId10"/>
    <sheet state="visible" name="3 한 문장" sheetId="7" r:id="rId11"/>
    <sheet state="visible" name="3 한 문장 예시" sheetId="8" r:id="rId12"/>
    <sheet state="visible" name="참고 · UJM (10일차 통합일)" sheetId="9" r:id="rId13"/>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E11">
      <text>
        <t xml:space="preserve">CJM의 이탈. 경험에서 공유로 이어지지 않음. 재참여로 이어지 가능성이 낮고 재참여시 인지과정부터 다시 할 가능성이 있음.</t>
      </text>
    </comment>
    <comment authorId="0" ref="G9">
      <text>
        <t xml:space="preserve">부정적인 견해를 추가로 넣길 바라심. 버츄얼 그룹 팬덤 성향상 집단의 충성도가 높아 찾기 어려움.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H12">
      <text>
        <t xml:space="preserve">일방형 소통- 디지털 접접. 쌍방형 소통이면 소셜접점.
</t>
      </text>
    </comment>
  </commentList>
</comments>
</file>

<file path=xl/sharedStrings.xml><?xml version="1.0" encoding="utf-8"?>
<sst xmlns="http://schemas.openxmlformats.org/spreadsheetml/2006/main" count="356" uniqueCount="192">
  <si>
    <t>K-POP 이머시브 콘텐츠 기획자 양성과정 · 1기   ·   07일차 W2-2 (9/16 수)   ·   STUDIO 1 팬경험 설계실</t>
  </si>
  <si>
    <t>실습 1 — 사용자가 쓴 말을 직접 찾아온다 (20분)   —   작성 예시</t>
  </si>
  <si>
    <t>실습 0 — 어제 내가 '짐작한' Pain 5건을 옮겨 봉인한다 (10분)</t>
  </si>
  <si>
    <t>실습 0 — 어제 내가 '짐작한' Pain 5건을 옮겨 봉인한다 (10분)   —   작성 예시</t>
  </si>
  <si>
    <t>원문을 그대로 옮겼다 — 요약하면 '예매가 불편하다'가 되어 아무것도 못 고친다. 여덟 건 중 넷이 어제 짐작에 없던 것이고, '3 경험'에 네 건이 몰렸다. 현장 발권 줄·양도 절차·우천 취소 공지는 앉아서 상상해서는 절대 안 나온다.</t>
  </si>
  <si>
    <t>실습 1 — 사용자가 쓴 말을 직접 찾아온다 (20분)</t>
  </si>
  <si>
    <t>예시는 일부러 다른 분야(프로야구 직관)다 — 베끼지 말고 방법만 가져간다. 이건 어디까지나 '짐작'이다. 다음 시트에서 사용자가 쓴 말과 대조하면 절반쯤 빗나간다.</t>
  </si>
  <si>
    <t>이름</t>
  </si>
  <si>
    <t>어제 뽑은 다섯 건을 그대로 옮겨 적고 단계를 고른다. ⚠️ 이 시트는 여기서 끝이다 — 뒤에서 사용자의 말을 찾은 뒤에도 고치지 않는다. 짐작이 얼마나 맞았는지 재려면 봉인해야 한다.</t>
  </si>
  <si>
    <t>어디서 — 구글플레이 리뷰(★1~2 필터) · 로그인 없이 보이는 커뮤니티·블로그 후기. 규칙 — ① 원문 그대로(맞춤법도 고치지 않는다) ② 작성자 아이디·이름은 적지 않는다 ③ 출처는 '앱·사이트 이름 · ★n' ④ 원문에 사람 이름·연락처·계정이 들어 있으면 그 건은 버린다. ⑤ 최소 4건, 여유가 되면 8건. 아래 집계는 대조를 마치는 즉시 뜬다.</t>
  </si>
  <si>
    <t>홍길동 (예시)</t>
  </si>
  <si>
    <t>거점</t>
  </si>
  <si>
    <t>김찬미</t>
  </si>
  <si>
    <t>광주 (예시)</t>
  </si>
  <si>
    <t>번호</t>
  </si>
  <si>
    <t>순천(1기)</t>
  </si>
  <si>
    <t>사용자가 쓴 말 — 그대로 붙인다</t>
  </si>
  <si>
    <t>어제 내가 짐작한 Pain</t>
  </si>
  <si>
    <t>어디서(앱·사이트 이름) · ★</t>
  </si>
  <si>
    <t>어디서 처음 생겼다고 봤나</t>
  </si>
  <si>
    <t>어느 단계에서</t>
  </si>
  <si>
    <t>그렇게 본 이유</t>
  </si>
  <si>
    <t>어제 내 짐작에 있었나</t>
  </si>
  <si>
    <t>1</t>
  </si>
  <si>
    <t>홈경기 일정이 SNS·포털·앱에 흩어져 있어 언제 하는지 매번 헷갈린다</t>
  </si>
  <si>
    <t>"좌석 시야 사진이 없어서 3루 상단 샀다가 그물에 다 가림. 환불도 안 됨"</t>
  </si>
  <si>
    <t>1 인지</t>
  </si>
  <si>
    <t>예매앱 리뷰 · ★1</t>
  </si>
  <si>
    <t>일정 확인하려고 세 군데를 돈다</t>
  </si>
  <si>
    <t>2 관심</t>
  </si>
  <si>
    <t>있었다</t>
  </si>
  <si>
    <t>2</t>
  </si>
  <si>
    <t>좌석 등급별로 시야가 어떤지 알 수 없어 어디를 살지 못 정한다</t>
  </si>
  <si>
    <t>"대기열 3천번대 뜨고 들어가니 이미 전석 매진. 이게 무슨 예매냐"</t>
  </si>
  <si>
    <t>털이 좀 엉망진창으로 되어 있는데 다들 치간칫솔, 눈썹 빗 등으로 많이 정리해주시더라</t>
  </si>
  <si>
    <t xml:space="preserve">위버스, 트위터 등 SNS 로 컴백 굿즈 판매 시작일 알림이 옴.
</t>
  </si>
  <si>
    <t>살지 말지 재는 구간에서 막힌다</t>
  </si>
  <si>
    <t>3 경험</t>
  </si>
  <si>
    <t>3</t>
  </si>
  <si>
    <t>인기 경기는 예매 3분 만에 매진돼 원하는 날 표를 못 산다</t>
  </si>
  <si>
    <t>"현장 발권 줄이 30분인데 경기 시작하고 나서 들어감. 1회초를 못 봄"</t>
  </si>
  <si>
    <t>표를 사는 순간에 막힌다</t>
  </si>
  <si>
    <t>블로그 후기: -</t>
  </si>
  <si>
    <t>커뮤니티 후기 · —</t>
  </si>
  <si>
    <t>4</t>
  </si>
  <si>
    <t>없었다</t>
  </si>
  <si>
    <t>직관 인증샷을 올릴 때 그날 경기 기록을 매번 따로 검색해 붙인다</t>
  </si>
  <si>
    <t>4 공유</t>
  </si>
  <si>
    <t>"앱에서 산 표가 다른 사람 명의로 뜨는데 양도 절차를 아무도 설명 안 해줌"</t>
  </si>
  <si>
    <t>보고 난 뒤 자랑하는 구간이다</t>
  </si>
  <si>
    <t>예매앱 리뷰 · ★2</t>
  </si>
  <si>
    <t>5</t>
  </si>
  <si>
    <t>비시즌 4개월 동안 볼 게 없어 관심이 식는다</t>
  </si>
  <si>
    <t>5 재참여</t>
  </si>
  <si>
    <t>"우천 취소 공지를 경기장 도착하고 나서 푸시로 받음. 왕복 3시간"</t>
  </si>
  <si>
    <t>다음 시즌까지 버티는 구간이다</t>
  </si>
  <si>
    <t>구단앱 리뷰 · ★1</t>
  </si>
  <si>
    <t>6</t>
  </si>
  <si>
    <t>"유니폼 마킹 2주 걸린다는 걸 결제 다 하고 나서 알려줌"</t>
  </si>
  <si>
    <t>질문 카드 (막힌 점·헷갈리는 점 한 가지 이상)</t>
  </si>
  <si>
    <t>구단몰 리뷰 · ★2</t>
  </si>
  <si>
    <t>7</t>
  </si>
  <si>
    <t>"경기 기록이랑 사진을 같이 올리고 싶은데 앱에서 내보내기가 안 됨"</t>
  </si>
  <si>
    <t>구단앱 리뷰 · ★3</t>
  </si>
  <si>
    <t>짐작을 다섯 개나 적어야 하나 — 확신 없는 건 빼는 게 낫지 않나?</t>
  </si>
  <si>
    <t>8</t>
  </si>
  <si>
    <t>"비시즌에 앱 열면 아무것도 없음. 그냥 지움"</t>
  </si>
  <si>
    <t>구단앱 리뷰 · ★2</t>
  </si>
  <si>
    <t>일정을 확인하려고 SNS 들어가 본다.
( 마음에 드는 굿즈 구매하기 위해)</t>
  </si>
  <si>
    <t>컴백 굿즈 판매날 어떤 종류가 있는지, 품질은 어떤지, 가격, 굿즈 티저 등을 확인한다.</t>
  </si>
  <si>
    <t>살지 말지 망설인다.
(가성비를 중요시 하므로)</t>
  </si>
  <si>
    <t>플레이브 인형은 단순한 유행 장난감을 넘어서, 아이들의 창의력과 자기 표현을 자극하는 하나의 문화 콘텐츠다. 마치 예전 우리가 스티커 꾸미기에 빠졌던 것처럼, 지금의 아이들은 인형 꾸미기를 통해 감성의 언어를 확장하는 중인 것이다.</t>
  </si>
  <si>
    <t>티스토리 후기:-</t>
  </si>
  <si>
    <t>관심은 경험하기 이전/ 공유는 경험한 이후.</t>
  </si>
  <si>
    <t>8건 중 4건이 짐작에 없었다 — 내 페르소나가 틀린 건가, 내가 덜 본 건가?</t>
  </si>
  <si>
    <t>아티스트가 디자인한 전용 키링을 구매한다.</t>
  </si>
  <si>
    <t>아티스트가 직접 디자인해서 품절 되기 쉽기 때문이다.
(소장가치 및 평소 활용하기 쉬우므로)
(비공식 인형 구매할 필요가 없어짐.)</t>
  </si>
  <si>
    <t>소비하기 이전 동작에 해당하면 경험이고 소비를 완벽히 하고 사용했으면 공유.</t>
  </si>
  <si>
    <t>구매한 키링을 친구에게 알린다.
(카톡으로 인증샷 보내기)</t>
  </si>
  <si>
    <t>자동 집계 — 여덟 건을 다 채우고 대조하면 뜬다</t>
  </si>
  <si>
    <t>친구에게 자랑하고 싶어서이다.
(뿌듯함, 자기만족 등)</t>
  </si>
  <si>
    <t xml:space="preserve">이제 오프 행사때 동행할 공식 인형이 생겼으니 당분간 비공식 인형구매는 자제해 보는걸로.
</t>
  </si>
  <si>
    <t>다음 컴백이 올때까지 기다린다.
(기존 뮤비, 비하인드 영상, 쇼츠을 감상한다)</t>
  </si>
  <si>
    <t>블로그 후기:-</t>
  </si>
  <si>
    <t>네 건 이상 모았는가</t>
  </si>
  <si>
    <t xml:space="preserve">다음 컴백까지 버티는 구간이다.
</t>
  </si>
  <si>
    <t>플레이브 므메미무 인형 (키링아님) 윈가양도합니다!
박스만 뜯어봤고 상자안에 보관만한 상품입니다!
*(털정리해야합니다! 큰하자있는지 확인만하고 박스에 그대로 넣어 보관만했습니다)</t>
  </si>
  <si>
    <t>트위터 후기:-</t>
  </si>
  <si>
    <t>아무래도 솜인형이다보니 봉제 관련 이슈가 많이 있었는데 저 상태로 포장되어 있다보니 얼굴만 보고 골라내야해서 힘들었다고함.</t>
  </si>
  <si>
    <t xml:space="preserve">플레이브 므메미무 굿즈 예준, 하민(몌무, 먀미) 각각 양도합니다. 일괄구매 가능
전시만 했었고 키링 인형만 두 번 정도 사용했었습니다.
</t>
  </si>
  <si>
    <t>중고나라 후기:-</t>
  </si>
  <si>
    <t>공식 인형 스포가 너무 고퀄임 (티저)</t>
  </si>
  <si>
    <t>인스타 후기:-</t>
  </si>
  <si>
    <t>★ 짐작이 맞은 건</t>
  </si>
  <si>
    <t xml:space="preserve">실물도 너무 잘 뽑혔어
팝업 티켓팅 망해서 당장 못가지는게 너무 원통스럽다
나중에 온판 있긴하지만 하루 빨리 품에 안고싶어
</t>
  </si>
  <si>
    <t>인스티즈 후기:-</t>
  </si>
  <si>
    <t>★ 내가 전혀 몰랐던 말</t>
  </si>
  <si>
    <t>단계별 분포 (자동)</t>
  </si>
  <si>
    <t>꼬리가 아래쪽으로 살짝 치우쳐 자립이 불가능함.</t>
  </si>
  <si>
    <t>제 몌무 온거... 다리가 너무 짝짝이가 심해요...흑흑 거의 2배 차이... 봉제 문제라 아무리 만져도 안되는... 일단 교환신청 하긴 했는데 어떻게 될지...(제발 교환 받아 주기...)</t>
  </si>
  <si>
    <t>비어 있는 단계</t>
  </si>
  <si>
    <t>실습 2 — 고객 여정 v1 (감정 · 접점 · ★)</t>
  </si>
  <si>
    <t>① Pain 칸은 **앞 시트에서 찾은 사용자의 말**로 채운다(번호를 같이 적는다) → ② 감정 점수 1~5 (넣는 순간 옆 칸에 얼굴과 막대가 그려진다. 막대가 가장 짧은 단계가 골짜기다) → ③ 접점을 세 갈래로 채우고 단계당 3~5개로 줄인다 → ④ ★ 두 곳(가장 낮은 단계 1 · 마지막 단계 1).</t>
  </si>
  <si>
    <t>단계</t>
  </si>
  <si>
    <t>감정 점수 1~5</t>
  </si>
  <si>
    <t>한눈에 — 자동</t>
  </si>
  <si>
    <t>★ 골짜기</t>
  </si>
  <si>
    <t>디지털 접점</t>
  </si>
  <si>
    <t>오프라인 접점</t>
  </si>
  <si>
    <t>소셜 접점</t>
  </si>
  <si>
    <t>Pain — 앞 시트 번호와 함께</t>
  </si>
  <si>
    <t>실습 2 — 고객 여정 v1 (감정 · 접점 · ★)   —   작성 예시</t>
  </si>
  <si>
    <t>Pain 칸이 전부 앞 시트의 번호로 채워져 있다 — 이게 '지어낸 여정'과 '조사한 여정'의 차이다. '3 경험'에 네 건이 몰려 막대가 가장 짧아졌고, 마지막 단계와 함께 ★ 두 곳을 찍었다.</t>
  </si>
  <si>
    <t>플레이브 공식 홈, 커뮤니티</t>
  </si>
  <si>
    <t>-</t>
  </si>
  <si>
    <t>SNS</t>
  </si>
  <si>
    <t xml:space="preserve">#8 / (짐작) #1 </t>
  </si>
  <si>
    <t>커뮤니티 후기</t>
  </si>
  <si>
    <t>#7 /(짐작) #2</t>
  </si>
  <si>
    <t>인증샷 촬영</t>
  </si>
  <si>
    <t>#3 / #4,#6(CJM의 일탈)/ (짐작) #3</t>
  </si>
  <si>
    <t>★</t>
  </si>
  <si>
    <t>#1 #2 #5 #9 #10/ (짐작)#4</t>
  </si>
  <si>
    <t>플레이브 공식 홈, 팬카페</t>
  </si>
  <si>
    <t xml:space="preserve">SNS </t>
  </si>
  <si>
    <t>(짐작)#5</t>
  </si>
  <si>
    <t>💡 더 큰 꺾은선을 보고 싶으면 — 감정 점수 칸(B8:B12)을 끌어서 선택 → 상단 메뉴 [삽입] &gt; [차트] → 차트 종류를 '꺾은선'으로. 30초면 된다. 안 만들어도 옆 칸 막대로 골짜기는 보인다.</t>
  </si>
  <si>
    <t>구단 SNS · 포털 일정</t>
  </si>
  <si>
    <t>—</t>
  </si>
  <si>
    <t>팬 커뮤니티 일정 스레드</t>
  </si>
  <si>
    <t>일정이 세 군데에 흩어져 있다 (짐작 1)</t>
  </si>
  <si>
    <t>예매 좌석도 · 구단몰 상품 페이지</t>
  </si>
  <si>
    <t>자동 점검 — 다 되면 ○ 로 바뀐다</t>
  </si>
  <si>
    <t>지난 방문 기억</t>
  </si>
  <si>
    <t>좌석 후기 트윗</t>
  </si>
  <si>
    <t>#1 시야 사진 없음 · #6 마킹 2주를 결제 후 고지</t>
  </si>
  <si>
    <t>① 근거가 붙은 단계가 셋 이상인가</t>
  </si>
  <si>
    <t>예매 대기열 · 모바일 티켓 · 우천 공지</t>
  </si>
  <si>
    <t>현장 발권 줄 · 좌석</t>
  </si>
  <si>
    <t>실시간 예매 후기</t>
  </si>
  <si>
    <t>#2 매진 · #3 발권 줄 30분 · #4 양도 · #5 우천 공지</t>
  </si>
  <si>
    <t>구단앱 기록 · 인스타 업로드</t>
  </si>
  <si>
    <t>단톡방 공유</t>
  </si>
  <si>
    <t>#7 기록을 앱에서 못 내보낸다</t>
  </si>
  <si>
    <t>구단 앱 알림 · 시즌권 안내</t>
  </si>
  <si>
    <t>비시즌 잡담 스레드</t>
  </si>
  <si>
    <t>#8 비시즌엔 앱에 아무것도 없다</t>
  </si>
  <si>
    <t>'3 경험'에 네 건이나 몰렸는데 그중 무엇부터 고쳐야 하나 — 개수로 정하나, 심각도로 정하나?</t>
  </si>
  <si>
    <t>② 막대가 들쭉날쭉한가</t>
  </si>
  <si>
    <t>③ 접점을 채웠는가</t>
  </si>
  <si>
    <t>④ ★ 가 두 곳인가</t>
  </si>
  <si>
    <t>참고 · 지금 막대가 가장 짧은 단계</t>
  </si>
  <si>
    <t>실습 3 — 오늘을 한 문장으로 닫는다 (15분)</t>
  </si>
  <si>
    <t>다섯 칸을 채우면 아래에 문장이 자동으로 조립된다. 이 한 줄이 최종 제안서의 '문제 정의' 칸이다. '무엇 때문에' 칸에는 반드시 **앞 시트의 불만 번호**를 같이 적는다 — 근거 없는 한 문장은 의견일 뿐이다.</t>
  </si>
  <si>
    <t>순천 (1기)</t>
  </si>
  <si>
    <t>칸</t>
  </si>
  <si>
    <t>내가 채우는 자리</t>
  </si>
  <si>
    <t>누가</t>
  </si>
  <si>
    <t>플레이브를 좋아하는 32세 직장인 여성팬은</t>
  </si>
  <si>
    <t>무엇 때문에</t>
  </si>
  <si>
    <t>플레이브 굿즈(인형) 공식 티저 영상 후기를 보고 (#7)</t>
  </si>
  <si>
    <t>어떻게 된다</t>
  </si>
  <si>
    <t>공식인형을 구매하게 된다. (오프라인 행사에 동행 가능/ #3)</t>
  </si>
  <si>
    <t>그래서 무엇을 만들면 되나</t>
  </si>
  <si>
    <t>솜인형이다보니 봉제관련 문제점이 발견되었으며 출시 전 샘플 검수 강화 및 QC 체크리스트 활용이 필요하다(#1,#5,#9,#10)</t>
  </si>
  <si>
    <t xml:space="preserve">출시전) 품질 기준 수립: 봉제선 강도, 실 마감 상태, 올 풀림 여부 등 세부적인 QC 체크리스트를 마련합니다.
샘플 검수 강화: 초기 샘플 단계에서 여러 차례 테스트를 진행하여 내구성을 확인합니다.
공정 표준화: 생산 라인별로 작업 매뉴얼을 세분화하고, 봉제 속도,실,마감 방식 등을 표준화 합니다.
협력업체 관리. 사전 품질 검사팀 운영.
출시후) 고객 피드백 수립, 리콜 및 교환정책, 사후품질 개선이 필요하다.
</t>
  </si>
  <si>
    <t>1문장이나 3문장으로 정제하라는 말은 대부분 모든 것을 생각하지 않고 판달할수 있는 내용을 말함.</t>
  </si>
  <si>
    <t>완성 문장 — 자동으로 조립된다</t>
  </si>
  <si>
    <t>자동 점검 — 오늘 들고 나가는 물건은 이 한 줄이다</t>
  </si>
  <si>
    <t>다섯 칸을 다 채웠는가</t>
  </si>
  <si>
    <t>근거 번호가 붙었는가</t>
  </si>
  <si>
    <t>한 숨에 읽히는가</t>
  </si>
  <si>
    <t>실습 3 — 오늘을 한 문장으로 닫는다 (15분)   —   작성 예시</t>
  </si>
  <si>
    <t>근거가 번호로 붙어 있다. 회의에서 '그건 네 생각 아니냐'는 말을 들을 수 없는 문장이다.</t>
  </si>
  <si>
    <t>홈경기를 챙겨 보는 29세 직장인 팬은</t>
  </si>
  <si>
    <t>3 경험(표를 사고 경기장에 들어가기까지) 에서</t>
  </si>
  <si>
    <t>#3 현장 발권 줄 30분 · #5 우천 취소를 도착한 뒤에야 알림 — 때문에</t>
  </si>
  <si>
    <t>1회초를 놓치거나 왕복 3시간을 헛걸음하고, 다음 경기를 중계로 돌린다</t>
  </si>
  <si>
    <t>입장 전 90분 확정 알림(발권 대기 현황 + 우천 판단)</t>
  </si>
  <si>
    <t>'그래서 무엇을 만들면 되나' 칸이 너무 구체적이면 다른 안을 못 보게 되지 않나?</t>
  </si>
  <si>
    <t>참고 — 사용자 여정(UJM) · 오늘 실습 범위가 아니다 (10일차 통합일에 진행)</t>
  </si>
  <si>
    <t>⚠️ 오늘은 열지 않는다. 10일차(W2 종합 통합일)에 ★ 를 찍은 단계 하나를 골라 분 단위로 확대할 때 쓴다. 미리 보고 싶은 사람만 열어 본다.</t>
  </si>
  <si>
    <t>접점</t>
  </si>
  <si>
    <t>감정 낱말</t>
  </si>
  <si>
    <t>점수 1~5</t>
  </si>
  <si>
    <t>Pain</t>
  </si>
  <si>
    <t>고객 여정과의 연결</t>
  </si>
  <si>
    <t>1 발견</t>
  </si>
  <si>
    <t>2 탐색</t>
  </si>
  <si>
    <t>3 구매</t>
  </si>
  <si>
    <t>4 수령</t>
  </si>
  <si>
    <t>5 사후</t>
  </si>
</sst>
</file>

<file path=xl/styles.xml><?xml version="1.0" encoding="utf-8"?>
<styleSheet xmlns="http://schemas.openxmlformats.org/spreadsheetml/2006/main" xmlns:x14ac="http://schemas.microsoft.com/office/spreadsheetml/2009/9/ac" xmlns:mc="http://schemas.openxmlformats.org/markup-compatibility/2006">
  <fonts count="25">
    <font>
      <sz val="11.0"/>
      <color theme="1"/>
      <name val="Calibri"/>
      <scheme val="minor"/>
    </font>
    <font>
      <sz val="9.0"/>
      <color rgb="FF85929A"/>
      <name val="Pretendard"/>
    </font>
    <font>
      <b/>
      <sz val="16.0"/>
      <color rgb="FF906D4F"/>
      <name val="Pretendard"/>
    </font>
    <font>
      <sz val="10.0"/>
      <color rgb="FF906D4F"/>
      <name val="Pretendard"/>
    </font>
    <font>
      <b/>
      <sz val="16.0"/>
      <color rgb="FF223055"/>
      <name val="Pretendard"/>
    </font>
    <font>
      <b/>
      <sz val="10.0"/>
      <color rgb="FF223055"/>
      <name val="Pretendard"/>
    </font>
    <font>
      <sz val="10.0"/>
      <color rgb="FF4A4A4A"/>
      <name val="Pretendard"/>
    </font>
    <font>
      <sz val="11.0"/>
      <color theme="1"/>
      <name val="Calibri"/>
    </font>
    <font>
      <b/>
      <sz val="11.0"/>
      <color rgb="FF223055"/>
      <name val="Pretendard"/>
    </font>
    <font>
      <b/>
      <sz val="10.0"/>
      <color rgb="FF906D4F"/>
      <name val="Pretendard"/>
    </font>
    <font>
      <b/>
      <sz val="10.0"/>
      <color rgb="FF1A1A1A"/>
      <name val="Pretendard"/>
    </font>
    <font>
      <sz val="10.0"/>
      <color rgb="FF1A1A1A"/>
      <name val="Gulim"/>
    </font>
    <font>
      <sz val="11.0"/>
      <color rgb="FF444444"/>
      <name val="Dotum"/>
    </font>
    <font>
      <sz val="11.0"/>
      <color theme="1"/>
      <name val="Dotum"/>
    </font>
    <font>
      <b/>
      <sz val="11.0"/>
      <color rgb="FFF66181"/>
      <name val="Pretendard"/>
    </font>
    <font/>
    <font>
      <color theme="1"/>
      <name val="Calibri"/>
      <scheme val="minor"/>
    </font>
    <font>
      <sz val="10.0"/>
      <color theme="1"/>
      <name val="Pretendard"/>
    </font>
    <font>
      <sz val="11.0"/>
      <color rgb="FF000000"/>
      <name val="Dotum"/>
    </font>
    <font>
      <b/>
      <sz val="10.0"/>
      <color theme="1"/>
      <name val="Pretendard"/>
    </font>
    <font>
      <sz val="11.0"/>
      <color theme="1"/>
      <name val="Gulim"/>
    </font>
    <font>
      <b/>
      <sz val="10.0"/>
      <color rgb="FF1A1A1A"/>
      <name val="Arial"/>
    </font>
    <font>
      <sz val="13.0"/>
      <color theme="1"/>
      <name val="Pretendard"/>
    </font>
    <font>
      <sz val="10.0"/>
      <color rgb="FF4A4A4A"/>
      <name val="Arial"/>
    </font>
    <font>
      <b/>
      <sz val="13.0"/>
      <color rgb="FF223055"/>
      <name val="Pretendard"/>
    </font>
  </fonts>
  <fills count="9">
    <fill>
      <patternFill patternType="none"/>
    </fill>
    <fill>
      <patternFill patternType="lightGray"/>
    </fill>
    <fill>
      <patternFill patternType="solid">
        <fgColor rgb="FFF2E7DC"/>
        <bgColor rgb="FFF2E7DC"/>
      </patternFill>
    </fill>
    <fill>
      <patternFill patternType="solid">
        <fgColor rgb="FFFEEBF1"/>
        <bgColor rgb="FFFEEBF1"/>
      </patternFill>
    </fill>
    <fill>
      <patternFill patternType="solid">
        <fgColor rgb="FFFBF7F3"/>
        <bgColor rgb="FFFBF7F3"/>
      </patternFill>
    </fill>
    <fill>
      <patternFill patternType="solid">
        <fgColor rgb="FFFFFFFF"/>
        <bgColor rgb="FFFFFFFF"/>
      </patternFill>
    </fill>
    <fill>
      <patternFill patternType="solid">
        <fgColor rgb="FFFFFF00"/>
        <bgColor rgb="FFFFFF00"/>
      </patternFill>
    </fill>
    <fill>
      <patternFill patternType="solid">
        <fgColor rgb="FFF5F5F6"/>
        <bgColor rgb="FFF5F5F6"/>
      </patternFill>
    </fill>
    <fill>
      <patternFill patternType="solid">
        <fgColor rgb="FFFFF4F8"/>
        <bgColor rgb="FFFFF4F8"/>
      </patternFill>
    </fill>
  </fills>
  <borders count="9">
    <border/>
    <border>
      <left style="thin">
        <color rgb="FFD9D9D9"/>
      </left>
      <right style="thin">
        <color rgb="FFD9D9D9"/>
      </right>
      <top style="thin">
        <color rgb="FFD9D9D9"/>
      </top>
      <bottom style="thin">
        <color rgb="FFD9D9D9"/>
      </bottom>
    </border>
    <border>
      <left style="thin">
        <color rgb="FFD9D9D9"/>
      </left>
      <top style="thin">
        <color rgb="FFD9D9D9"/>
      </top>
      <bottom style="thin">
        <color rgb="FFD9D9D9"/>
      </bottom>
    </border>
    <border>
      <top style="thin">
        <color rgb="FFD9D9D9"/>
      </top>
      <bottom style="thin">
        <color rgb="FFD9D9D9"/>
      </bottom>
    </border>
    <border>
      <right style="thin">
        <color rgb="FFD9D9D9"/>
      </right>
      <top style="thin">
        <color rgb="FFD9D9D9"/>
      </top>
      <bottom style="thin">
        <color rgb="FFD9D9D9"/>
      </bottom>
    </border>
    <border>
      <left/>
      <top/>
      <bottom/>
    </border>
    <border>
      <top/>
      <bottom/>
    </border>
    <border>
      <right/>
      <top/>
      <bottom/>
    </border>
    <border>
      <left/>
      <right/>
      <top/>
      <bottom/>
    </border>
  </borders>
  <cellStyleXfs count="1">
    <xf borderId="0" fillId="0" fontId="0" numFmtId="0" applyAlignment="1" applyFont="1"/>
  </cellStyleXfs>
  <cellXfs count="43">
    <xf borderId="0" fillId="0" fontId="0" numFmtId="0" xfId="0" applyAlignment="1" applyFont="1">
      <alignment readingOrder="0" shrinkToFit="0" vertical="bottom" wrapText="0"/>
    </xf>
    <xf borderId="0" fillId="0" fontId="1" numFmtId="0" xfId="0" applyFont="1"/>
    <xf borderId="0" fillId="0" fontId="2" numFmtId="0" xfId="0" applyFont="1"/>
    <xf borderId="0" fillId="0" fontId="3" numFmtId="0" xfId="0" applyAlignment="1" applyFont="1">
      <alignment shrinkToFit="0" vertical="center" wrapText="1"/>
    </xf>
    <xf borderId="0" fillId="0" fontId="4" numFmtId="0" xfId="0" applyFont="1"/>
    <xf borderId="0" fillId="0" fontId="5" numFmtId="0" xfId="0" applyFont="1"/>
    <xf borderId="0" fillId="0" fontId="6" numFmtId="0" xfId="0" applyAlignment="1" applyFont="1">
      <alignment shrinkToFit="0" vertical="center" wrapText="1"/>
    </xf>
    <xf borderId="1" fillId="0" fontId="3" numFmtId="0" xfId="0" applyBorder="1" applyFont="1"/>
    <xf borderId="1" fillId="0" fontId="7" numFmtId="0" xfId="0" applyAlignment="1" applyBorder="1" applyFont="1">
      <alignment readingOrder="0"/>
    </xf>
    <xf borderId="1" fillId="2" fontId="8" numFmtId="0" xfId="0" applyAlignment="1" applyBorder="1" applyFill="1" applyFont="1">
      <alignment horizontal="center" shrinkToFit="0" vertical="center" wrapText="1"/>
    </xf>
    <xf borderId="1" fillId="3" fontId="8" numFmtId="0" xfId="0" applyAlignment="1" applyBorder="1" applyFill="1" applyFont="1">
      <alignment horizontal="center" shrinkToFit="0" vertical="center" wrapText="1"/>
    </xf>
    <xf borderId="1" fillId="0" fontId="9" numFmtId="0" xfId="0" applyAlignment="1" applyBorder="1" applyFont="1">
      <alignment shrinkToFit="0" vertical="top" wrapText="1"/>
    </xf>
    <xf borderId="1" fillId="0" fontId="10" numFmtId="0" xfId="0" applyAlignment="1" applyBorder="1" applyFont="1">
      <alignment shrinkToFit="0" vertical="top" wrapText="1"/>
    </xf>
    <xf borderId="1" fillId="4" fontId="6" numFmtId="0" xfId="0" applyAlignment="1" applyBorder="1" applyFill="1" applyFont="1">
      <alignment shrinkToFit="0" vertical="top" wrapText="1"/>
    </xf>
    <xf borderId="1" fillId="0" fontId="11" numFmtId="0" xfId="0" applyAlignment="1" applyBorder="1" applyFont="1">
      <alignment shrinkToFit="0" vertical="top" wrapText="1"/>
    </xf>
    <xf borderId="0" fillId="5" fontId="12" numFmtId="0" xfId="0" applyAlignment="1" applyFill="1" applyFont="1">
      <alignment horizontal="left" readingOrder="0" shrinkToFit="0" vertical="top" wrapText="1"/>
    </xf>
    <xf borderId="1" fillId="0" fontId="7" numFmtId="0" xfId="0" applyAlignment="1" applyBorder="1" applyFont="1">
      <alignment readingOrder="0" shrinkToFit="0" vertical="top" wrapText="1"/>
    </xf>
    <xf borderId="1" fillId="0" fontId="13" numFmtId="0" xfId="0" applyAlignment="1" applyBorder="1" applyFont="1">
      <alignment horizontal="left" readingOrder="0" shrinkToFit="0" vertical="top" wrapText="1"/>
    </xf>
    <xf borderId="0" fillId="0" fontId="14" numFmtId="0" xfId="0" applyFont="1"/>
    <xf borderId="2" fillId="0" fontId="3" numFmtId="0" xfId="0" applyAlignment="1" applyBorder="1" applyFont="1">
      <alignment shrinkToFit="0" vertical="top" wrapText="1"/>
    </xf>
    <xf borderId="3" fillId="0" fontId="15" numFmtId="0" xfId="0" applyBorder="1" applyFont="1"/>
    <xf borderId="4" fillId="0" fontId="15" numFmtId="0" xfId="0" applyBorder="1" applyFont="1"/>
    <xf borderId="0" fillId="0" fontId="16" numFmtId="0" xfId="0" applyAlignment="1" applyFont="1">
      <alignment readingOrder="0"/>
    </xf>
    <xf borderId="0" fillId="0" fontId="16" numFmtId="0" xfId="0" applyFont="1"/>
    <xf borderId="0" fillId="0" fontId="8" numFmtId="0" xfId="0" applyFont="1"/>
    <xf borderId="0" fillId="0" fontId="17" numFmtId="0" xfId="0" applyAlignment="1" applyFont="1">
      <alignment vertical="center"/>
    </xf>
    <xf borderId="0" fillId="6" fontId="12" numFmtId="0" xfId="0" applyAlignment="1" applyFill="1" applyFont="1">
      <alignment horizontal="left" readingOrder="0" shrinkToFit="0" vertical="top" wrapText="1"/>
    </xf>
    <xf borderId="1" fillId="6" fontId="13" numFmtId="0" xfId="0" applyAlignment="1" applyBorder="1" applyFill="1" applyFont="1">
      <alignment horizontal="left" readingOrder="0" shrinkToFit="0" vertical="top" wrapText="1"/>
    </xf>
    <xf borderId="2" fillId="0" fontId="7" numFmtId="0" xfId="0" applyAlignment="1" applyBorder="1" applyFont="1">
      <alignment shrinkToFit="0" vertical="top" wrapText="1"/>
    </xf>
    <xf borderId="0" fillId="5" fontId="18" numFmtId="0" xfId="0" applyAlignment="1" applyFill="1" applyFont="1">
      <alignment horizontal="left" readingOrder="0" vertical="top"/>
    </xf>
    <xf borderId="5" fillId="7" fontId="19" numFmtId="0" xfId="0" applyAlignment="1" applyBorder="1" applyFill="1" applyFont="1">
      <alignment shrinkToFit="0" vertical="center" wrapText="1"/>
    </xf>
    <xf borderId="1" fillId="0" fontId="20" numFmtId="0" xfId="0" applyAlignment="1" applyBorder="1" applyFont="1">
      <alignment horizontal="left" readingOrder="0" shrinkToFit="0" vertical="top" wrapText="1"/>
    </xf>
    <xf borderId="6" fillId="0" fontId="15" numFmtId="0" xfId="0" applyBorder="1" applyFont="1"/>
    <xf borderId="7" fillId="0" fontId="15" numFmtId="0" xfId="0" applyBorder="1" applyFont="1"/>
    <xf borderId="0" fillId="0" fontId="21" numFmtId="0" xfId="0" applyAlignment="1" applyFont="1">
      <alignment readingOrder="0" shrinkToFit="0" vertical="top" wrapText="1"/>
    </xf>
    <xf borderId="0" fillId="0" fontId="20" numFmtId="0" xfId="0" applyAlignment="1" applyFont="1">
      <alignment horizontal="left" readingOrder="0" shrinkToFit="0" vertical="top" wrapText="1"/>
    </xf>
    <xf borderId="1" fillId="0" fontId="7" numFmtId="0" xfId="0" applyBorder="1" applyFont="1"/>
    <xf borderId="1" fillId="0" fontId="22" numFmtId="0" xfId="0" applyAlignment="1" applyBorder="1" applyFont="1">
      <alignment vertical="center"/>
    </xf>
    <xf borderId="1" fillId="0" fontId="7" numFmtId="0" xfId="0" applyAlignment="1" applyBorder="1" applyFont="1">
      <alignment shrinkToFit="0" vertical="top" wrapText="1"/>
    </xf>
    <xf borderId="1" fillId="4" fontId="22" numFmtId="0" xfId="0" applyAlignment="1" applyBorder="1" applyFill="1" applyFont="1">
      <alignment vertical="center"/>
    </xf>
    <xf borderId="1" fillId="4" fontId="23" numFmtId="0" xfId="0" applyAlignment="1" applyBorder="1" applyFill="1" applyFont="1">
      <alignment readingOrder="0" shrinkToFit="0" vertical="top" wrapText="1"/>
    </xf>
    <xf borderId="2" fillId="8" fontId="24" numFmtId="0" xfId="0" applyAlignment="1" applyBorder="1" applyFill="1" applyFont="1">
      <alignment shrinkToFit="0" vertical="center" wrapText="1"/>
    </xf>
    <xf borderId="8" fillId="7" fontId="19" numFmtId="0" xfId="0" applyAlignment="1" applyBorder="1" applyFill="1" applyFont="1">
      <alignment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3.xml"/><Relationship Id="rId3"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5.xml"/><Relationship Id="rId3" Type="http://schemas.openxmlformats.org/officeDocument/2006/relationships/vmlDrawing" Target="../drawings/vmlDrawing2.v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pane ySplit="7.0" topLeftCell="A8" activePane="bottomLeft" state="frozen"/>
      <selection activeCell="B9" sqref="B9" pane="bottomLeft"/>
    </sheetView>
  </sheetViews>
  <sheetFormatPr customHeight="1" defaultColWidth="14.43" defaultRowHeight="15.0"/>
  <cols>
    <col customWidth="1" min="1" max="1" width="8.0"/>
    <col customWidth="1" min="2" max="2" width="46.0"/>
    <col customWidth="1" min="3" max="3" width="24.0"/>
    <col customWidth="1" min="4" max="4" width="34.0"/>
    <col customWidth="1" min="5" max="26" width="8.71"/>
  </cols>
  <sheetData>
    <row r="1">
      <c r="A1" s="1" t="s">
        <v>0</v>
      </c>
    </row>
    <row r="2">
      <c r="A2" s="4" t="s">
        <v>2</v>
      </c>
    </row>
    <row r="3" ht="30.0" customHeight="1">
      <c r="A3" s="6" t="s">
        <v>8</v>
      </c>
    </row>
    <row r="5">
      <c r="A5" s="5" t="s">
        <v>7</v>
      </c>
      <c r="B5" s="8" t="s">
        <v>12</v>
      </c>
      <c r="C5" s="5" t="s">
        <v>11</v>
      </c>
      <c r="D5" s="8" t="s">
        <v>15</v>
      </c>
    </row>
    <row r="7" ht="33.75" customHeight="1">
      <c r="A7" s="10" t="s">
        <v>14</v>
      </c>
      <c r="B7" s="10" t="s">
        <v>17</v>
      </c>
      <c r="C7" s="10" t="s">
        <v>19</v>
      </c>
      <c r="D7" s="10" t="s">
        <v>21</v>
      </c>
    </row>
    <row r="8" ht="45.75" customHeight="1">
      <c r="A8" s="12" t="s">
        <v>23</v>
      </c>
      <c r="B8" s="16" t="s">
        <v>35</v>
      </c>
      <c r="C8" s="16" t="s">
        <v>26</v>
      </c>
      <c r="D8" s="16" t="s">
        <v>68</v>
      </c>
    </row>
    <row r="9" ht="45.75" customHeight="1">
      <c r="A9" s="12" t="s">
        <v>31</v>
      </c>
      <c r="B9" s="16" t="s">
        <v>69</v>
      </c>
      <c r="C9" s="16" t="s">
        <v>29</v>
      </c>
      <c r="D9" s="16" t="s">
        <v>70</v>
      </c>
      <c r="F9" s="22" t="s">
        <v>73</v>
      </c>
    </row>
    <row r="10" ht="96.75" customHeight="1">
      <c r="A10" s="12" t="s">
        <v>38</v>
      </c>
      <c r="B10" s="16" t="s">
        <v>75</v>
      </c>
      <c r="C10" s="16" t="s">
        <v>37</v>
      </c>
      <c r="D10" s="16" t="s">
        <v>76</v>
      </c>
      <c r="F10" s="22" t="s">
        <v>77</v>
      </c>
    </row>
    <row r="11" ht="45.75" customHeight="1">
      <c r="A11" s="12" t="s">
        <v>44</v>
      </c>
      <c r="B11" s="16" t="s">
        <v>78</v>
      </c>
      <c r="C11" s="16" t="s">
        <v>47</v>
      </c>
      <c r="D11" s="16" t="s">
        <v>80</v>
      </c>
    </row>
    <row r="12" ht="45.75" customHeight="1">
      <c r="A12" s="12" t="s">
        <v>51</v>
      </c>
      <c r="B12" s="16" t="s">
        <v>82</v>
      </c>
      <c r="C12" s="16" t="s">
        <v>53</v>
      </c>
      <c r="D12" s="16" t="s">
        <v>85</v>
      </c>
    </row>
    <row r="14">
      <c r="A14" s="18" t="s">
        <v>59</v>
      </c>
    </row>
    <row r="15" ht="54.0" customHeight="1">
      <c r="A15" s="28"/>
      <c r="B15" s="20"/>
      <c r="C15" s="20"/>
      <c r="D15" s="21"/>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3:D3"/>
    <mergeCell ref="A15:D15"/>
  </mergeCells>
  <dataValidations>
    <dataValidation type="list" allowBlank="1" showInputMessage="1" showErrorMessage="1" prompt="어디서 처음 생겼다고 봤나 - 지금은 짐작이어도 된다. 곧 대조한다." sqref="C8:C12">
      <formula1>"1 인지,2 관심,3 경험,4 공유,5 재참여"</formula1>
    </dataValidation>
  </dataValidations>
  <printOptions/>
  <pageMargins bottom="0.4" footer="0.0" header="0.0" left="0.3" right="0.3" top="0.4"/>
  <pageSetup fitToHeight="0" paperSize="9"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06D4F"/>
    <pageSetUpPr fitToPage="1"/>
  </sheetPr>
  <sheetViews>
    <sheetView showGridLines="0" workbookViewId="0">
      <pane ySplit="7.0" topLeftCell="A8" activePane="bottomLeft" state="frozen"/>
      <selection activeCell="B9" sqref="B9" pane="bottomLeft"/>
    </sheetView>
  </sheetViews>
  <sheetFormatPr customHeight="1" defaultColWidth="14.43" defaultRowHeight="15.0"/>
  <cols>
    <col customWidth="1" min="1" max="1" width="8.0"/>
    <col customWidth="1" min="2" max="2" width="46.0"/>
    <col customWidth="1" min="3" max="3" width="24.0"/>
    <col customWidth="1" min="4" max="4" width="34.0"/>
    <col customWidth="1" min="5" max="26" width="8.71"/>
  </cols>
  <sheetData>
    <row r="1">
      <c r="A1" s="1" t="s">
        <v>0</v>
      </c>
    </row>
    <row r="2">
      <c r="A2" s="2" t="s">
        <v>3</v>
      </c>
    </row>
    <row r="3" ht="30.0" customHeight="1">
      <c r="A3" s="3" t="s">
        <v>6</v>
      </c>
    </row>
    <row r="5">
      <c r="A5" s="5" t="s">
        <v>7</v>
      </c>
      <c r="B5" s="7" t="s">
        <v>10</v>
      </c>
      <c r="C5" s="5" t="s">
        <v>11</v>
      </c>
      <c r="D5" s="7" t="s">
        <v>13</v>
      </c>
    </row>
    <row r="7" ht="33.75" customHeight="1">
      <c r="A7" s="9" t="s">
        <v>14</v>
      </c>
      <c r="B7" s="9" t="s">
        <v>17</v>
      </c>
      <c r="C7" s="9" t="s">
        <v>19</v>
      </c>
      <c r="D7" s="9" t="s">
        <v>21</v>
      </c>
    </row>
    <row r="8" ht="45.75" customHeight="1">
      <c r="A8" s="11" t="s">
        <v>23</v>
      </c>
      <c r="B8" s="13" t="s">
        <v>24</v>
      </c>
      <c r="C8" s="13" t="s">
        <v>26</v>
      </c>
      <c r="D8" s="13" t="s">
        <v>28</v>
      </c>
    </row>
    <row r="9" ht="45.75" customHeight="1">
      <c r="A9" s="11" t="s">
        <v>31</v>
      </c>
      <c r="B9" s="13" t="s">
        <v>32</v>
      </c>
      <c r="C9" s="13" t="s">
        <v>29</v>
      </c>
      <c r="D9" s="13" t="s">
        <v>36</v>
      </c>
    </row>
    <row r="10" ht="45.75" customHeight="1">
      <c r="A10" s="11" t="s">
        <v>38</v>
      </c>
      <c r="B10" s="13" t="s">
        <v>39</v>
      </c>
      <c r="C10" s="13" t="s">
        <v>37</v>
      </c>
      <c r="D10" s="13" t="s">
        <v>41</v>
      </c>
    </row>
    <row r="11" ht="45.75" customHeight="1">
      <c r="A11" s="11" t="s">
        <v>44</v>
      </c>
      <c r="B11" s="13" t="s">
        <v>46</v>
      </c>
      <c r="C11" s="13" t="s">
        <v>47</v>
      </c>
      <c r="D11" s="13" t="s">
        <v>49</v>
      </c>
    </row>
    <row r="12" ht="45.75" customHeight="1">
      <c r="A12" s="11" t="s">
        <v>51</v>
      </c>
      <c r="B12" s="13" t="s">
        <v>52</v>
      </c>
      <c r="C12" s="13" t="s">
        <v>53</v>
      </c>
      <c r="D12" s="13" t="s">
        <v>55</v>
      </c>
    </row>
    <row r="14">
      <c r="A14" s="18" t="s">
        <v>59</v>
      </c>
    </row>
    <row r="15" ht="54.0" customHeight="1">
      <c r="A15" s="19" t="s">
        <v>64</v>
      </c>
      <c r="B15" s="20"/>
      <c r="C15" s="20"/>
      <c r="D15" s="21"/>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3:D3"/>
    <mergeCell ref="A15:D15"/>
  </mergeCells>
  <printOptions/>
  <pageMargins bottom="0.4" footer="0.0" header="0.0" left="0.3" right="0.3" top="0.4"/>
  <pageSetup fitToHeight="0" paperSize="9"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pane ySplit="7.0" topLeftCell="A8" activePane="bottomLeft" state="frozen"/>
      <selection activeCell="B9" sqref="B9" pane="bottomLeft"/>
    </sheetView>
  </sheetViews>
  <sheetFormatPr customHeight="1" defaultColWidth="14.43" defaultRowHeight="15.0"/>
  <cols>
    <col customWidth="1" min="1" max="1" width="7.0"/>
    <col customWidth="1" min="2" max="2" width="76.29"/>
    <col customWidth="1" min="3" max="3" width="22.0"/>
    <col customWidth="1" min="4" max="4" width="18.0"/>
    <col customWidth="1" min="5" max="5" width="20.0"/>
    <col customWidth="1" min="6" max="26" width="8.71"/>
  </cols>
  <sheetData>
    <row r="1">
      <c r="A1" s="1" t="s">
        <v>0</v>
      </c>
    </row>
    <row r="2">
      <c r="A2" s="4" t="s">
        <v>5</v>
      </c>
    </row>
    <row r="3" ht="30.0" customHeight="1">
      <c r="A3" s="6" t="s">
        <v>9</v>
      </c>
    </row>
    <row r="5">
      <c r="A5" s="5" t="s">
        <v>7</v>
      </c>
      <c r="B5" s="8" t="s">
        <v>12</v>
      </c>
      <c r="C5" s="5" t="s">
        <v>11</v>
      </c>
      <c r="D5" s="8" t="s">
        <v>15</v>
      </c>
    </row>
    <row r="7" ht="33.75" customHeight="1">
      <c r="A7" s="10" t="s">
        <v>14</v>
      </c>
      <c r="B7" s="10" t="s">
        <v>16</v>
      </c>
      <c r="C7" s="10" t="s">
        <v>18</v>
      </c>
      <c r="D7" s="10" t="s">
        <v>20</v>
      </c>
      <c r="E7" s="10" t="s">
        <v>22</v>
      </c>
    </row>
    <row r="8" ht="37.5" customHeight="1">
      <c r="A8" s="14" t="s">
        <v>23</v>
      </c>
      <c r="B8" s="15" t="s">
        <v>34</v>
      </c>
      <c r="C8" s="17" t="s">
        <v>42</v>
      </c>
      <c r="D8" s="17" t="s">
        <v>47</v>
      </c>
      <c r="E8" s="17" t="s">
        <v>45</v>
      </c>
    </row>
    <row r="9" ht="77.25" customHeight="1">
      <c r="A9" s="14" t="s">
        <v>31</v>
      </c>
      <c r="B9" s="15" t="s">
        <v>71</v>
      </c>
      <c r="C9" s="17" t="s">
        <v>72</v>
      </c>
      <c r="D9" s="17" t="s">
        <v>47</v>
      </c>
      <c r="E9" s="17" t="s">
        <v>45</v>
      </c>
      <c r="G9" s="23"/>
    </row>
    <row r="10" ht="60.75" customHeight="1">
      <c r="A10" s="14" t="s">
        <v>38</v>
      </c>
      <c r="B10" s="15" t="s">
        <v>81</v>
      </c>
      <c r="C10" s="17" t="s">
        <v>83</v>
      </c>
      <c r="D10" s="17" t="s">
        <v>37</v>
      </c>
      <c r="E10" s="17" t="s">
        <v>30</v>
      </c>
    </row>
    <row r="11" ht="67.5" customHeight="1">
      <c r="A11" s="14" t="s">
        <v>44</v>
      </c>
      <c r="B11" s="26" t="s">
        <v>86</v>
      </c>
      <c r="C11" s="27" t="s">
        <v>87</v>
      </c>
      <c r="D11" s="27" t="s">
        <v>37</v>
      </c>
      <c r="E11" s="27" t="s">
        <v>45</v>
      </c>
    </row>
    <row r="12" ht="37.5" customHeight="1">
      <c r="A12" s="14" t="s">
        <v>51</v>
      </c>
      <c r="B12" s="17" t="s">
        <v>88</v>
      </c>
      <c r="C12" s="17" t="s">
        <v>83</v>
      </c>
      <c r="D12" s="17" t="s">
        <v>47</v>
      </c>
      <c r="E12" s="17" t="s">
        <v>45</v>
      </c>
    </row>
    <row r="13" ht="61.5" customHeight="1">
      <c r="A13" s="12" t="s">
        <v>57</v>
      </c>
      <c r="B13" s="27" t="s">
        <v>89</v>
      </c>
      <c r="C13" s="27" t="s">
        <v>90</v>
      </c>
      <c r="D13" s="27" t="s">
        <v>37</v>
      </c>
      <c r="E13" s="27" t="s">
        <v>45</v>
      </c>
    </row>
    <row r="14" ht="37.5" customHeight="1">
      <c r="A14" s="12" t="s">
        <v>61</v>
      </c>
      <c r="B14" s="29" t="s">
        <v>91</v>
      </c>
      <c r="C14" s="31" t="s">
        <v>92</v>
      </c>
      <c r="D14" s="31" t="s">
        <v>29</v>
      </c>
      <c r="E14" s="31" t="s">
        <v>30</v>
      </c>
    </row>
    <row r="15" ht="59.25" customHeight="1">
      <c r="A15" s="12" t="s">
        <v>65</v>
      </c>
      <c r="B15" s="31" t="s">
        <v>94</v>
      </c>
      <c r="C15" s="31" t="s">
        <v>95</v>
      </c>
      <c r="D15" s="31" t="s">
        <v>26</v>
      </c>
      <c r="E15" s="31" t="s">
        <v>45</v>
      </c>
    </row>
    <row r="16" ht="59.25" customHeight="1">
      <c r="A16" s="34">
        <v>9.0</v>
      </c>
      <c r="B16" s="35" t="s">
        <v>98</v>
      </c>
      <c r="C16" s="35" t="s">
        <v>83</v>
      </c>
      <c r="D16" s="35" t="s">
        <v>47</v>
      </c>
      <c r="E16" s="35" t="s">
        <v>45</v>
      </c>
    </row>
    <row r="17" ht="59.25" customHeight="1">
      <c r="A17" s="34">
        <v>10.0</v>
      </c>
      <c r="B17" s="35" t="s">
        <v>99</v>
      </c>
      <c r="C17" s="35" t="s">
        <v>87</v>
      </c>
      <c r="D17" s="35" t="s">
        <v>47</v>
      </c>
      <c r="E17" s="35" t="s">
        <v>45</v>
      </c>
    </row>
    <row r="19">
      <c r="A19" s="18" t="s">
        <v>59</v>
      </c>
    </row>
    <row r="20" ht="54.0" customHeight="1">
      <c r="A20" s="28"/>
      <c r="B20" s="20"/>
      <c r="C20" s="20"/>
      <c r="D20" s="20"/>
      <c r="E20" s="21"/>
    </row>
    <row r="22">
      <c r="A22" s="24" t="s">
        <v>79</v>
      </c>
    </row>
    <row r="23" ht="21.75" customHeight="1">
      <c r="A23" s="25" t="s">
        <v>84</v>
      </c>
      <c r="C23" s="30" t="str">
        <f>IF(COUNTA(B8:B15)&gt;=8,"○ 여덟 건 — 충분하다",IF(COUNTA(B8:B15)&gt;=4,"○ "&amp;COUNTA(B8:B15)&amp;"건 — 여기서 대조로 넘어가도 된다","△ "&amp;COUNTA(B8:B15)&amp;"건 — ★1~2 필터에서 더 내려가 본다"))</f>
        <v>○ 여덟 건 — 충분하다</v>
      </c>
      <c r="D23" s="32"/>
      <c r="E23" s="33"/>
    </row>
    <row r="24" ht="21.75" customHeight="1">
      <c r="A24" s="25" t="s">
        <v>93</v>
      </c>
      <c r="C24" s="30" t="str">
        <f>IF(COUNTA(E8:E15)&lt;COUNTA(B8:B15),"— 대조를 마저 한다",COUNTIF(E8:E15,"있었다")&amp;"건 / "&amp;COUNTA(B8:B15)&amp;"건 — 어제 앉아서 맞힌 것")</f>
        <v>2건 / 8건 — 어제 앉아서 맞힌 것</v>
      </c>
      <c r="D24" s="32"/>
      <c r="E24" s="33"/>
    </row>
    <row r="25" ht="21.75" customHeight="1">
      <c r="A25" s="25" t="s">
        <v>96</v>
      </c>
      <c r="C25" s="30" t="str">
        <f>IF(COUNTA(E8:E15)&lt;COUNTA(B8:B15),"— 대조를 마저 한다",COUNTIF(E8:E15,"없었다")&amp;"건 — 오늘의 수확이다. 이 중 하나가 기획이 된다")</f>
        <v>6건 — 오늘의 수확이다. 이 중 하나가 기획이 된다</v>
      </c>
      <c r="D25" s="32"/>
      <c r="E25" s="33"/>
    </row>
    <row r="26" ht="21.75" customHeight="1">
      <c r="A26" s="25" t="s">
        <v>97</v>
      </c>
      <c r="C26" s="30" t="str">
        <f>"인지 "&amp;REPT("■",COUNTIF(D8:D15,"1 인지"))&amp;COUNTIF(D8:D15,"1 인지")&amp;"   관심 "&amp;REPT("■",COUNTIF(D8:D15,"2 관심"))&amp;COUNTIF(D8:D15,"2 관심")&amp;"   경험 "&amp;REPT("■",COUNTIF(D8:D15,"3 경험"))&amp;COUNTIF(D8:D15,"3 경험")&amp;"   공유 "&amp;REPT("■",COUNTIF(D8:D15,"4 공유"))&amp;COUNTIF(D8:D15,"4 공유")&amp;"   재참여 "&amp;REPT("■",COUNTIF(D8:D15,"5 재참여"))&amp;COUNTIF(D8:D15,"5 재참여")</f>
        <v>인지 ■1   관심 ■1   경험 ■■■3   공유 ■■■3   재참여 0</v>
      </c>
      <c r="D26" s="32"/>
      <c r="E26" s="33"/>
    </row>
    <row r="27" ht="21.75" customHeight="1">
      <c r="A27" s="25" t="s">
        <v>100</v>
      </c>
      <c r="C27" s="30" t="str">
        <f>IF(COUNTA(D8:D15)&lt;8,"— 여덟 건을 다 분류하면 뜬다",IF(COUNTIF(D8:D15,"1 인지")=0,"1 인지 ","")&amp;IF(COUNTIF(D8:D15,"2 관심")=0,"2 관심 ","")&amp;IF(COUNTIF(D8:D15,"3 경험")=0,"3 경험 ","")&amp;IF(COUNTIF(D8:D15,"4 공유")=0,"4 공유 ","")&amp;IF(COUNTIF(D8:D15,"5 재참여")=0,"5 재참여 ","")&amp;"← 비었다고 문제가 없는 게 아니다. 그 구간을 안 찾아본 것일 수도 있다")</f>
        <v>5 재참여 ← 비었다고 문제가 없는 게 아니다. 그 구간을 안 찾아본 것일 수도 있다</v>
      </c>
      <c r="D27" s="32"/>
      <c r="E27" s="33"/>
    </row>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sheetData>
  <mergeCells count="12">
    <mergeCell ref="A25:B25"/>
    <mergeCell ref="A26:B26"/>
    <mergeCell ref="A27:B27"/>
    <mergeCell ref="C26:E26"/>
    <mergeCell ref="C27:E27"/>
    <mergeCell ref="A3:E3"/>
    <mergeCell ref="A20:E20"/>
    <mergeCell ref="A23:B23"/>
    <mergeCell ref="C23:E23"/>
    <mergeCell ref="A24:B24"/>
    <mergeCell ref="C24:E24"/>
    <mergeCell ref="C25:E25"/>
  </mergeCells>
  <dataValidations>
    <dataValidation type="list" allowBlank="1" showInputMessage="1" showErrorMessage="1" prompt="어제 내 짐작에 있었나 - 비슷하기만 해도 '있었다'. 애매하면 '없었다'." sqref="E8:E17">
      <formula1>"있었다,없었다"</formula1>
    </dataValidation>
    <dataValidation type="list" allowBlank="1" showInputMessage="1" showErrorMessage="1" prompt="어느 단계에서 - 이 사람이 '그 순간' 무엇을 하던 중이었는지로 고른다." sqref="D8:D17">
      <formula1>"1 인지,2 관심,3 경험,4 공유,5 재참여"</formula1>
    </dataValidation>
  </dataValidations>
  <printOptions/>
  <pageMargins bottom="0.4" footer="0.0" header="0.0" left="0.3" right="0.3" top="0.4"/>
  <pageSetup fitToHeight="0" paperSize="9" orientation="landscape"/>
  <drawing r:id="rId2"/>
  <legacy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06D4F"/>
    <pageSetUpPr fitToPage="1"/>
  </sheetPr>
  <sheetViews>
    <sheetView showGridLines="0" workbookViewId="0">
      <pane ySplit="7.0" topLeftCell="A8" activePane="bottomLeft" state="frozen"/>
      <selection activeCell="B9" sqref="B9" pane="bottomLeft"/>
    </sheetView>
  </sheetViews>
  <sheetFormatPr customHeight="1" defaultColWidth="14.43" defaultRowHeight="15.0"/>
  <cols>
    <col customWidth="1" min="1" max="1" width="7.0"/>
    <col customWidth="1" min="2" max="2" width="54.0"/>
    <col customWidth="1" min="3" max="3" width="22.0"/>
    <col customWidth="1" min="4" max="4" width="18.0"/>
    <col customWidth="1" min="5" max="5" width="20.0"/>
    <col customWidth="1" min="6" max="26" width="8.71"/>
  </cols>
  <sheetData>
    <row r="1">
      <c r="A1" s="1" t="s">
        <v>0</v>
      </c>
    </row>
    <row r="2">
      <c r="A2" s="2" t="s">
        <v>1</v>
      </c>
    </row>
    <row r="3" ht="30.0" customHeight="1">
      <c r="A3" s="3" t="s">
        <v>4</v>
      </c>
    </row>
    <row r="5">
      <c r="A5" s="5" t="s">
        <v>7</v>
      </c>
      <c r="B5" s="7" t="s">
        <v>10</v>
      </c>
      <c r="C5" s="5" t="s">
        <v>11</v>
      </c>
      <c r="D5" s="7" t="s">
        <v>13</v>
      </c>
    </row>
    <row r="7" ht="33.75" customHeight="1">
      <c r="A7" s="9" t="s">
        <v>14</v>
      </c>
      <c r="B7" s="9" t="s">
        <v>16</v>
      </c>
      <c r="C7" s="9" t="s">
        <v>18</v>
      </c>
      <c r="D7" s="9" t="s">
        <v>20</v>
      </c>
      <c r="E7" s="9" t="s">
        <v>22</v>
      </c>
    </row>
    <row r="8" ht="37.5" customHeight="1">
      <c r="A8" s="11" t="s">
        <v>23</v>
      </c>
      <c r="B8" s="13" t="s">
        <v>25</v>
      </c>
      <c r="C8" s="13" t="s">
        <v>27</v>
      </c>
      <c r="D8" s="13" t="s">
        <v>29</v>
      </c>
      <c r="E8" s="13" t="s">
        <v>30</v>
      </c>
    </row>
    <row r="9" ht="37.5" customHeight="1">
      <c r="A9" s="11" t="s">
        <v>31</v>
      </c>
      <c r="B9" s="13" t="s">
        <v>33</v>
      </c>
      <c r="C9" s="13" t="s">
        <v>27</v>
      </c>
      <c r="D9" s="13" t="s">
        <v>37</v>
      </c>
      <c r="E9" s="13" t="s">
        <v>30</v>
      </c>
    </row>
    <row r="10" ht="37.5" customHeight="1">
      <c r="A10" s="11" t="s">
        <v>38</v>
      </c>
      <c r="B10" s="13" t="s">
        <v>40</v>
      </c>
      <c r="C10" s="13" t="s">
        <v>43</v>
      </c>
      <c r="D10" s="13" t="s">
        <v>37</v>
      </c>
      <c r="E10" s="13" t="s">
        <v>45</v>
      </c>
    </row>
    <row r="11" ht="37.5" customHeight="1">
      <c r="A11" s="11" t="s">
        <v>44</v>
      </c>
      <c r="B11" s="13" t="s">
        <v>48</v>
      </c>
      <c r="C11" s="13" t="s">
        <v>50</v>
      </c>
      <c r="D11" s="13" t="s">
        <v>37</v>
      </c>
      <c r="E11" s="13" t="s">
        <v>45</v>
      </c>
    </row>
    <row r="12" ht="37.5" customHeight="1">
      <c r="A12" s="11" t="s">
        <v>51</v>
      </c>
      <c r="B12" s="13" t="s">
        <v>54</v>
      </c>
      <c r="C12" s="13" t="s">
        <v>56</v>
      </c>
      <c r="D12" s="13" t="s">
        <v>37</v>
      </c>
      <c r="E12" s="13" t="s">
        <v>45</v>
      </c>
    </row>
    <row r="13" ht="37.5" customHeight="1">
      <c r="A13" s="11" t="s">
        <v>57</v>
      </c>
      <c r="B13" s="13" t="s">
        <v>58</v>
      </c>
      <c r="C13" s="13" t="s">
        <v>60</v>
      </c>
      <c r="D13" s="13" t="s">
        <v>29</v>
      </c>
      <c r="E13" s="13" t="s">
        <v>45</v>
      </c>
    </row>
    <row r="14" ht="37.5" customHeight="1">
      <c r="A14" s="11" t="s">
        <v>61</v>
      </c>
      <c r="B14" s="13" t="s">
        <v>62</v>
      </c>
      <c r="C14" s="13" t="s">
        <v>63</v>
      </c>
      <c r="D14" s="13" t="s">
        <v>47</v>
      </c>
      <c r="E14" s="13" t="s">
        <v>30</v>
      </c>
    </row>
    <row r="15" ht="37.5" customHeight="1">
      <c r="A15" s="11" t="s">
        <v>65</v>
      </c>
      <c r="B15" s="13" t="s">
        <v>66</v>
      </c>
      <c r="C15" s="13" t="s">
        <v>67</v>
      </c>
      <c r="D15" s="13" t="s">
        <v>53</v>
      </c>
      <c r="E15" s="13" t="s">
        <v>30</v>
      </c>
    </row>
    <row r="17">
      <c r="A17" s="18" t="s">
        <v>59</v>
      </c>
    </row>
    <row r="18" ht="54.0" customHeight="1">
      <c r="A18" s="19" t="s">
        <v>74</v>
      </c>
      <c r="B18" s="20"/>
      <c r="C18" s="20"/>
      <c r="D18" s="20"/>
      <c r="E18" s="21"/>
    </row>
    <row r="20">
      <c r="A20" s="24" t="s">
        <v>79</v>
      </c>
    </row>
    <row r="21" ht="21.75" customHeight="1">
      <c r="A21" s="25" t="s">
        <v>84</v>
      </c>
      <c r="C21" s="30" t="str">
        <f>IF(COUNTA(B8:B15)&gt;=8,"○ 여덟 건 — 충분하다",IF(COUNTA(B8:B15)&gt;=4,"○ "&amp;COUNTA(B8:B15)&amp;"건 — 여기서 대조로 넘어가도 된다","△ "&amp;COUNTA(B8:B15)&amp;"건 — ★1~2 필터에서 더 내려가 본다"))</f>
        <v>○ 여덟 건 — 충분하다</v>
      </c>
      <c r="D21" s="32"/>
      <c r="E21" s="33"/>
    </row>
    <row r="22" ht="21.75" customHeight="1">
      <c r="A22" s="25" t="s">
        <v>93</v>
      </c>
      <c r="C22" s="30" t="str">
        <f>IF(COUNTA(E8:E15)&lt;COUNTA(B8:B15),"— 대조를 마저 한다",COUNTIF(E8:E15,"있었다")&amp;"건 / "&amp;COUNTA(B8:B15)&amp;"건 — 어제 앉아서 맞힌 것")</f>
        <v>4건 / 8건 — 어제 앉아서 맞힌 것</v>
      </c>
      <c r="D22" s="32"/>
      <c r="E22" s="33"/>
    </row>
    <row r="23" ht="21.75" customHeight="1">
      <c r="A23" s="25" t="s">
        <v>96</v>
      </c>
      <c r="C23" s="30" t="str">
        <f>IF(COUNTA(E8:E15)&lt;COUNTA(B8:B15),"— 대조를 마저 한다",COUNTIF(E8:E15,"없었다")&amp;"건 — 오늘의 수확이다. 이 중 하나가 기획이 된다")</f>
        <v>4건 — 오늘의 수확이다. 이 중 하나가 기획이 된다</v>
      </c>
      <c r="D23" s="32"/>
      <c r="E23" s="33"/>
    </row>
    <row r="24" ht="21.75" customHeight="1">
      <c r="A24" s="25" t="s">
        <v>97</v>
      </c>
      <c r="C24" s="30" t="str">
        <f>"인지 "&amp;REPT("■",COUNTIF(D8:D15,"1 인지"))&amp;COUNTIF(D8:D15,"1 인지")&amp;"   관심 "&amp;REPT("■",COUNTIF(D8:D15,"2 관심"))&amp;COUNTIF(D8:D15,"2 관심")&amp;"   경험 "&amp;REPT("■",COUNTIF(D8:D15,"3 경험"))&amp;COUNTIF(D8:D15,"3 경험")&amp;"   공유 "&amp;REPT("■",COUNTIF(D8:D15,"4 공유"))&amp;COUNTIF(D8:D15,"4 공유")&amp;"   재참여 "&amp;REPT("■",COUNTIF(D8:D15,"5 재참여"))&amp;COUNTIF(D8:D15,"5 재참여")</f>
        <v>인지 0   관심 ■■2   경험 ■■■■4   공유 ■1   재참여 ■1</v>
      </c>
      <c r="D24" s="32"/>
      <c r="E24" s="33"/>
    </row>
    <row r="25" ht="21.75" customHeight="1">
      <c r="A25" s="25" t="s">
        <v>100</v>
      </c>
      <c r="C25" s="30" t="str">
        <f>IF(COUNTA(D8:D15)&lt;8,"— 여덟 건을 다 분류하면 뜬다",IF(COUNTIF(D8:D15,"1 인지")=0,"1 인지 ","")&amp;IF(COUNTIF(D8:D15,"2 관심")=0,"2 관심 ","")&amp;IF(COUNTIF(D8:D15,"3 경험")=0,"3 경험 ","")&amp;IF(COUNTIF(D8:D15,"4 공유")=0,"4 공유 ","")&amp;IF(COUNTIF(D8:D15,"5 재참여")=0,"5 재참여 ","")&amp;"← 비었다고 문제가 없는 게 아니다. 그 구간을 안 찾아본 것일 수도 있다")</f>
        <v>1 인지 ← 비었다고 문제가 없는 게 아니다. 그 구간을 안 찾아본 것일 수도 있다</v>
      </c>
      <c r="D25" s="32"/>
      <c r="E25" s="33"/>
    </row>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2">
    <mergeCell ref="A23:B23"/>
    <mergeCell ref="A24:B24"/>
    <mergeCell ref="A25:B25"/>
    <mergeCell ref="C24:E24"/>
    <mergeCell ref="C25:E25"/>
    <mergeCell ref="A3:E3"/>
    <mergeCell ref="A18:E18"/>
    <mergeCell ref="A21:B21"/>
    <mergeCell ref="C21:E21"/>
    <mergeCell ref="A22:B22"/>
    <mergeCell ref="C22:E22"/>
    <mergeCell ref="C23:E23"/>
  </mergeCells>
  <printOptions/>
  <pageMargins bottom="0.4" footer="0.0" header="0.0" left="0.3" right="0.3" top="0.4"/>
  <pageSetup fitToHeight="0" paperSize="9"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pane ySplit="7.0" topLeftCell="A8" activePane="bottomLeft" state="frozen"/>
      <selection activeCell="B9" sqref="B9" pane="bottomLeft"/>
    </sheetView>
  </sheetViews>
  <sheetFormatPr customHeight="1" defaultColWidth="14.43" defaultRowHeight="15.0"/>
  <cols>
    <col customWidth="1" min="1" max="1" width="15.0"/>
    <col customWidth="1" min="2" max="2" width="13.0"/>
    <col customWidth="1" min="3" max="3" width="18.0"/>
    <col customWidth="1" min="4" max="4" width="10.0"/>
    <col customWidth="1" min="5" max="5" width="24.0"/>
    <col customWidth="1" min="6" max="6" width="22.0"/>
    <col customWidth="1" min="7" max="7" width="20.0"/>
    <col customWidth="1" min="8" max="8" width="34.0"/>
    <col customWidth="1" min="9" max="13" width="8.71"/>
    <col customWidth="1" min="14" max="14" width="71.43"/>
    <col customWidth="1" min="15" max="26" width="8.71"/>
  </cols>
  <sheetData>
    <row r="1">
      <c r="A1" s="1" t="s">
        <v>0</v>
      </c>
    </row>
    <row r="2">
      <c r="A2" s="4" t="s">
        <v>101</v>
      </c>
    </row>
    <row r="3" ht="30.0" customHeight="1">
      <c r="A3" s="6" t="s">
        <v>102</v>
      </c>
    </row>
    <row r="5">
      <c r="A5" s="5" t="s">
        <v>7</v>
      </c>
      <c r="B5" s="36"/>
      <c r="C5" s="5" t="s">
        <v>11</v>
      </c>
      <c r="D5" s="36"/>
    </row>
    <row r="7" ht="33.75" customHeight="1">
      <c r="A7" s="10" t="s">
        <v>103</v>
      </c>
      <c r="B7" s="10" t="s">
        <v>104</v>
      </c>
      <c r="C7" s="10" t="s">
        <v>105</v>
      </c>
      <c r="D7" s="10" t="s">
        <v>106</v>
      </c>
      <c r="E7" s="10" t="s">
        <v>107</v>
      </c>
      <c r="F7" s="10" t="s">
        <v>108</v>
      </c>
      <c r="G7" s="10" t="s">
        <v>109</v>
      </c>
      <c r="H7" s="10" t="s">
        <v>110</v>
      </c>
    </row>
    <row r="8" ht="45.75" customHeight="1">
      <c r="A8" s="12" t="s">
        <v>26</v>
      </c>
      <c r="B8" s="16">
        <v>3.0</v>
      </c>
      <c r="C8" s="37" t="str">
        <f t="shared" ref="C8:C12" si="1">IF(B8="","",CHOOSE(B8,"😣","🙁","😐","🙂","😀")&amp;" "&amp;REPT("■",B8))</f>
        <v>😐 ■■■</v>
      </c>
      <c r="D8" s="38"/>
      <c r="E8" s="16" t="s">
        <v>113</v>
      </c>
      <c r="F8" s="16" t="s">
        <v>114</v>
      </c>
      <c r="G8" s="16" t="s">
        <v>115</v>
      </c>
      <c r="H8" s="16" t="s">
        <v>116</v>
      </c>
    </row>
    <row r="9" ht="45.75" customHeight="1">
      <c r="A9" s="12" t="s">
        <v>29</v>
      </c>
      <c r="B9" s="16">
        <v>3.0</v>
      </c>
      <c r="C9" s="37" t="str">
        <f t="shared" si="1"/>
        <v>😐 ■■■</v>
      </c>
      <c r="D9" s="38"/>
      <c r="E9" s="16" t="s">
        <v>117</v>
      </c>
      <c r="F9" s="16" t="s">
        <v>114</v>
      </c>
      <c r="G9" s="16" t="s">
        <v>115</v>
      </c>
      <c r="H9" s="16" t="s">
        <v>118</v>
      </c>
    </row>
    <row r="10" ht="45.75" customHeight="1">
      <c r="A10" s="12" t="s">
        <v>37</v>
      </c>
      <c r="B10" s="16">
        <v>4.0</v>
      </c>
      <c r="C10" s="37" t="str">
        <f t="shared" si="1"/>
        <v>🙂 ■■■■</v>
      </c>
      <c r="D10" s="38"/>
      <c r="E10" s="16" t="s">
        <v>117</v>
      </c>
      <c r="F10" s="16" t="s">
        <v>119</v>
      </c>
      <c r="G10" s="16" t="s">
        <v>115</v>
      </c>
      <c r="H10" s="16" t="s">
        <v>120</v>
      </c>
    </row>
    <row r="11" ht="45.75" customHeight="1">
      <c r="A11" s="12" t="s">
        <v>47</v>
      </c>
      <c r="B11" s="16">
        <v>5.0</v>
      </c>
      <c r="C11" s="37" t="str">
        <f t="shared" si="1"/>
        <v>😀 ■■■■■</v>
      </c>
      <c r="D11" s="16" t="s">
        <v>121</v>
      </c>
      <c r="E11" s="16" t="s">
        <v>117</v>
      </c>
      <c r="F11" s="16" t="s">
        <v>119</v>
      </c>
      <c r="G11" s="16" t="s">
        <v>115</v>
      </c>
      <c r="H11" s="16" t="s">
        <v>122</v>
      </c>
    </row>
    <row r="12" ht="45.75" customHeight="1">
      <c r="A12" s="12" t="s">
        <v>53</v>
      </c>
      <c r="B12" s="16">
        <v>2.0</v>
      </c>
      <c r="C12" s="37" t="str">
        <f t="shared" si="1"/>
        <v>🙁 ■■</v>
      </c>
      <c r="D12" s="38"/>
      <c r="E12" s="16" t="s">
        <v>123</v>
      </c>
      <c r="F12" s="16" t="s">
        <v>114</v>
      </c>
      <c r="G12" s="16" t="s">
        <v>124</v>
      </c>
      <c r="H12" s="16" t="s">
        <v>125</v>
      </c>
    </row>
    <row r="13" ht="24.0" customHeight="1">
      <c r="A13" s="6" t="s">
        <v>126</v>
      </c>
    </row>
    <row r="14">
      <c r="A14" s="18" t="s">
        <v>59</v>
      </c>
    </row>
    <row r="15" ht="54.0" customHeight="1">
      <c r="A15" s="28"/>
      <c r="B15" s="20"/>
      <c r="C15" s="20"/>
      <c r="D15" s="20"/>
      <c r="E15" s="20"/>
      <c r="F15" s="20"/>
      <c r="G15" s="20"/>
      <c r="H15" s="21"/>
    </row>
    <row r="17">
      <c r="A17" s="24" t="s">
        <v>132</v>
      </c>
    </row>
    <row r="18" ht="21.75" customHeight="1">
      <c r="A18" s="25" t="s">
        <v>136</v>
      </c>
      <c r="C18" s="30" t="str">
        <f>IF(COUNTA(H8:H12)&gt;=3,"○ "&amp;COUNTA(H8:H12)&amp;"단계에 근거가 있다","△ 지금 "&amp;COUNTA(H8:H12)&amp;"단계 — 빈 단계는 상상으로 채우지 말고 앞 시트에서 더 찾아온다")</f>
        <v>○ 5단계에 근거가 있다</v>
      </c>
      <c r="D18" s="32"/>
      <c r="E18" s="32"/>
      <c r="F18" s="32"/>
      <c r="G18" s="32"/>
      <c r="H18" s="33"/>
    </row>
    <row r="19" ht="21.75" customHeight="1">
      <c r="A19" s="25" t="s">
        <v>148</v>
      </c>
      <c r="C19" s="30" t="str">
        <f>IF(COUNT(B8:B12)&lt;5,"△ 점수 "&amp;(5-COUNT(B8:B12))&amp;"칸이 비었다",IF(MAX(B8:B12)-MIN(B8:B12)&lt;2,"△ 막대가 다 비슷하다 — 불만이 몰린 단계를 내려라","○ 골이 보인다"))</f>
        <v>○ 골이 보인다</v>
      </c>
      <c r="D19" s="32"/>
      <c r="E19" s="32"/>
      <c r="F19" s="32"/>
      <c r="G19" s="32"/>
      <c r="H19" s="33"/>
    </row>
    <row r="20" ht="21.75" customHeight="1">
      <c r="A20" s="25" t="s">
        <v>149</v>
      </c>
      <c r="C20" s="30" t="str">
        <f>IF(COUNTA(E8:G12)&lt;8,"△ 접점 "&amp;COUNTA(E8:G12)&amp;"/15칸 — 아직 덜 찼다",IF(COUNTA(G8:G12)=0,"○ 찼다 — 소셜이 정말 없는 서비스면 '해당 없음'이라 적는다","○ 다 찼다"))</f>
        <v>○ 다 찼다</v>
      </c>
      <c r="D20" s="32"/>
      <c r="E20" s="32"/>
      <c r="F20" s="32"/>
      <c r="G20" s="32"/>
      <c r="H20" s="33"/>
    </row>
    <row r="21" ht="21.75" customHeight="1">
      <c r="A21" s="25" t="s">
        <v>150</v>
      </c>
      <c r="C21" s="30" t="str">
        <f>IF(COUNTA(D8:D12)=2,"○ 두 곳","△ 지금 "&amp;COUNTA(D8:D12)&amp;"곳 — 가장 낮은 단계 1 + 마지막 단계 1")</f>
        <v>△ 지금 1곳 — 가장 낮은 단계 1 + 마지막 단계 1</v>
      </c>
      <c r="D21" s="32"/>
      <c r="E21" s="32"/>
      <c r="F21" s="32"/>
      <c r="G21" s="32"/>
      <c r="H21" s="33"/>
    </row>
    <row r="22" ht="21.75" customHeight="1">
      <c r="A22" s="25" t="s">
        <v>151</v>
      </c>
      <c r="C22" s="30" t="str">
        <f t="array" ref="C22">IF(COUNT(B8:B12)&lt;5,"— 점수를 다 넣으면 뜬다",INDEX(A8:A12,MATCH(MIN(B8:B12),B8:B12,0))&amp;" (앞 시트 분포와 같은가)")</f>
        <v>5 재참여 (앞 시트 분포와 같은가)</v>
      </c>
      <c r="D22" s="32"/>
      <c r="E22" s="32"/>
      <c r="F22" s="32"/>
      <c r="G22" s="32"/>
      <c r="H22" s="33"/>
    </row>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3">
    <mergeCell ref="A20:B20"/>
    <mergeCell ref="C20:H20"/>
    <mergeCell ref="A21:B21"/>
    <mergeCell ref="C21:H21"/>
    <mergeCell ref="A22:B22"/>
    <mergeCell ref="C22:H22"/>
    <mergeCell ref="A3:H3"/>
    <mergeCell ref="A13:H13"/>
    <mergeCell ref="A15:H15"/>
    <mergeCell ref="A18:B18"/>
    <mergeCell ref="C18:H18"/>
    <mergeCell ref="A19:B19"/>
    <mergeCell ref="C19:H19"/>
  </mergeCells>
  <conditionalFormatting sqref="B8:B12">
    <cfRule type="colorScale" priority="1">
      <colorScale>
        <cfvo type="formula" val="1"/>
        <cfvo type="formula" val="3"/>
        <cfvo type="formula" val="5"/>
        <color rgb="FFF8696B"/>
        <color rgb="FFFFEB84"/>
        <color rgb="FF86C98A"/>
      </colorScale>
    </cfRule>
  </conditionalFormatting>
  <dataValidations>
    <dataValidation type="decimal" allowBlank="1" showInputMessage="1" showErrorMessage="1" prompt="감정 점수 - 1 포기·화 / 2 짜증 / 3 특별할 것 없음 / 4 무난 / 5 자랑하고 싶다&#10;사용자의 말이 몰린 단계는 3점 위로 올리지 않는다." sqref="B8:B12">
      <formula1>1.0</formula1>
      <formula2>5.0</formula2>
    </dataValidation>
    <dataValidation type="list" allowBlank="1" showInputMessage="1" showErrorMessage="1" prompt="★ 찍기 - 막대가 가장 짧은 단계 1곳 + 마지막 단계 1곳. 두 곳만." sqref="D8:D12">
      <formula1>"★"</formula1>
    </dataValidation>
  </dataValidations>
  <printOptions/>
  <pageMargins bottom="0.4" footer="0.0" header="0.0" left="0.3" right="0.3" top="0.4"/>
  <pageSetup fitToHeight="0" paperSize="9" orientation="landscape"/>
  <drawing r:id="rId2"/>
  <legacyDrawing r:id="rId3"/>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06D4F"/>
    <pageSetUpPr fitToPage="1"/>
  </sheetPr>
  <sheetViews>
    <sheetView showGridLines="0" workbookViewId="0">
      <pane ySplit="7.0" topLeftCell="A8" activePane="bottomLeft" state="frozen"/>
      <selection activeCell="B9" sqref="B9" pane="bottomLeft"/>
    </sheetView>
  </sheetViews>
  <sheetFormatPr customHeight="1" defaultColWidth="14.43" defaultRowHeight="15.0"/>
  <cols>
    <col customWidth="1" min="1" max="1" width="15.0"/>
    <col customWidth="1" min="2" max="2" width="13.0"/>
    <col customWidth="1" min="3" max="3" width="18.0"/>
    <col customWidth="1" min="4" max="4" width="10.0"/>
    <col customWidth="1" min="5" max="5" width="24.0"/>
    <col customWidth="1" min="6" max="6" width="22.0"/>
    <col customWidth="1" min="7" max="7" width="20.0"/>
    <col customWidth="1" min="8" max="8" width="34.0"/>
    <col customWidth="1" min="9" max="26" width="8.71"/>
  </cols>
  <sheetData>
    <row r="1">
      <c r="A1" s="1" t="s">
        <v>0</v>
      </c>
    </row>
    <row r="2">
      <c r="A2" s="2" t="s">
        <v>111</v>
      </c>
    </row>
    <row r="3" ht="30.0" customHeight="1">
      <c r="A3" s="3" t="s">
        <v>112</v>
      </c>
    </row>
    <row r="5">
      <c r="A5" s="5" t="s">
        <v>7</v>
      </c>
      <c r="B5" s="7" t="s">
        <v>10</v>
      </c>
      <c r="C5" s="5" t="s">
        <v>11</v>
      </c>
      <c r="D5" s="7" t="s">
        <v>13</v>
      </c>
    </row>
    <row r="7" ht="33.75" customHeight="1">
      <c r="A7" s="9" t="s">
        <v>103</v>
      </c>
      <c r="B7" s="9" t="s">
        <v>104</v>
      </c>
      <c r="C7" s="9" t="s">
        <v>105</v>
      </c>
      <c r="D7" s="9" t="s">
        <v>106</v>
      </c>
      <c r="E7" s="9" t="s">
        <v>107</v>
      </c>
      <c r="F7" s="9" t="s">
        <v>108</v>
      </c>
      <c r="G7" s="9" t="s">
        <v>109</v>
      </c>
      <c r="H7" s="9" t="s">
        <v>110</v>
      </c>
    </row>
    <row r="8" ht="45.75" customHeight="1">
      <c r="A8" s="11" t="s">
        <v>26</v>
      </c>
      <c r="B8" s="13">
        <v>3.0</v>
      </c>
      <c r="C8" s="39" t="str">
        <f t="shared" ref="C8:C12" si="1">IF(B8="","",CHOOSE(B8,"😣","🙁","😐","🙂","😀")&amp;" "&amp;REPT("■",B8))</f>
        <v>😐 ■■■</v>
      </c>
      <c r="D8" s="13"/>
      <c r="E8" s="13" t="s">
        <v>127</v>
      </c>
      <c r="F8" s="13" t="s">
        <v>128</v>
      </c>
      <c r="G8" s="13" t="s">
        <v>129</v>
      </c>
      <c r="H8" s="40" t="s">
        <v>130</v>
      </c>
    </row>
    <row r="9" ht="45.75" customHeight="1">
      <c r="A9" s="11" t="s">
        <v>29</v>
      </c>
      <c r="B9" s="13">
        <v>2.0</v>
      </c>
      <c r="C9" s="39" t="str">
        <f t="shared" si="1"/>
        <v>🙁 ■■</v>
      </c>
      <c r="D9" s="13"/>
      <c r="E9" s="13" t="s">
        <v>131</v>
      </c>
      <c r="F9" s="13" t="s">
        <v>133</v>
      </c>
      <c r="G9" s="13" t="s">
        <v>134</v>
      </c>
      <c r="H9" s="13" t="s">
        <v>135</v>
      </c>
    </row>
    <row r="10" ht="45.75" customHeight="1">
      <c r="A10" s="11" t="s">
        <v>37</v>
      </c>
      <c r="B10" s="13">
        <v>1.0</v>
      </c>
      <c r="C10" s="39" t="str">
        <f t="shared" si="1"/>
        <v>😣 ■</v>
      </c>
      <c r="D10" s="13" t="s">
        <v>121</v>
      </c>
      <c r="E10" s="13" t="s">
        <v>137</v>
      </c>
      <c r="F10" s="13" t="s">
        <v>138</v>
      </c>
      <c r="G10" s="13" t="s">
        <v>139</v>
      </c>
      <c r="H10" s="13" t="s">
        <v>140</v>
      </c>
    </row>
    <row r="11" ht="45.75" customHeight="1">
      <c r="A11" s="11" t="s">
        <v>47</v>
      </c>
      <c r="B11" s="13">
        <v>4.0</v>
      </c>
      <c r="C11" s="39" t="str">
        <f t="shared" si="1"/>
        <v>🙂 ■■■■</v>
      </c>
      <c r="D11" s="13"/>
      <c r="E11" s="13" t="s">
        <v>141</v>
      </c>
      <c r="F11" s="13" t="s">
        <v>119</v>
      </c>
      <c r="G11" s="13" t="s">
        <v>142</v>
      </c>
      <c r="H11" s="13" t="s">
        <v>143</v>
      </c>
    </row>
    <row r="12" ht="45.75" customHeight="1">
      <c r="A12" s="11" t="s">
        <v>53</v>
      </c>
      <c r="B12" s="13">
        <v>2.0</v>
      </c>
      <c r="C12" s="39" t="str">
        <f t="shared" si="1"/>
        <v>🙁 ■■</v>
      </c>
      <c r="D12" s="13" t="s">
        <v>121</v>
      </c>
      <c r="E12" s="13" t="s">
        <v>144</v>
      </c>
      <c r="F12" s="13" t="s">
        <v>128</v>
      </c>
      <c r="G12" s="13" t="s">
        <v>145</v>
      </c>
      <c r="H12" s="13" t="s">
        <v>146</v>
      </c>
    </row>
    <row r="13" ht="24.0" customHeight="1">
      <c r="A13" s="6" t="s">
        <v>126</v>
      </c>
    </row>
    <row r="14">
      <c r="A14" s="18" t="s">
        <v>59</v>
      </c>
    </row>
    <row r="15" ht="54.0" customHeight="1">
      <c r="A15" s="19" t="s">
        <v>147</v>
      </c>
      <c r="B15" s="20"/>
      <c r="C15" s="20"/>
      <c r="D15" s="20"/>
      <c r="E15" s="20"/>
      <c r="F15" s="20"/>
      <c r="G15" s="20"/>
      <c r="H15" s="21"/>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A3:H3"/>
    <mergeCell ref="A13:H13"/>
    <mergeCell ref="A15:H15"/>
  </mergeCells>
  <conditionalFormatting sqref="B8:B12">
    <cfRule type="colorScale" priority="1">
      <colorScale>
        <cfvo type="formula" val="1"/>
        <cfvo type="formula" val="3"/>
        <cfvo type="formula" val="5"/>
        <color rgb="FFF8696B"/>
        <color rgb="FFFFEB84"/>
        <color rgb="FF86C98A"/>
      </colorScale>
    </cfRule>
  </conditionalFormatting>
  <printOptions/>
  <pageMargins bottom="0.4" footer="0.0" header="0.0" left="0.3" right="0.3" top="0.4"/>
  <pageSetup fitToHeight="0" paperSize="9"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pane ySplit="8.0" topLeftCell="A9" activePane="bottomLeft" state="frozen"/>
      <selection activeCell="B10" sqref="B10" pane="bottomLeft"/>
    </sheetView>
  </sheetViews>
  <sheetFormatPr customHeight="1" defaultColWidth="14.43" defaultRowHeight="15.0"/>
  <cols>
    <col customWidth="1" min="1" max="1" width="26.0"/>
    <col customWidth="1" min="2" max="2" width="92.0"/>
    <col customWidth="1" min="3" max="26" width="8.71"/>
  </cols>
  <sheetData>
    <row r="1">
      <c r="A1" s="1" t="s">
        <v>0</v>
      </c>
    </row>
    <row r="2">
      <c r="A2" s="4" t="s">
        <v>152</v>
      </c>
    </row>
    <row r="3" ht="30.0" customHeight="1">
      <c r="A3" s="6" t="s">
        <v>153</v>
      </c>
    </row>
    <row r="5">
      <c r="A5" s="5" t="s">
        <v>7</v>
      </c>
      <c r="B5" s="8" t="s">
        <v>12</v>
      </c>
    </row>
    <row r="6">
      <c r="A6" s="5" t="s">
        <v>11</v>
      </c>
      <c r="B6" s="8" t="s">
        <v>154</v>
      </c>
    </row>
    <row r="8" ht="33.75" customHeight="1">
      <c r="A8" s="10" t="s">
        <v>155</v>
      </c>
      <c r="B8" s="10" t="s">
        <v>156</v>
      </c>
    </row>
    <row r="9" ht="39.75" customHeight="1">
      <c r="A9" s="12" t="s">
        <v>157</v>
      </c>
      <c r="B9" s="16" t="s">
        <v>158</v>
      </c>
    </row>
    <row r="10" ht="39.75" customHeight="1">
      <c r="A10" s="12" t="s">
        <v>20</v>
      </c>
      <c r="B10" s="16" t="s">
        <v>26</v>
      </c>
    </row>
    <row r="11" ht="39.75" customHeight="1">
      <c r="A11" s="12" t="s">
        <v>159</v>
      </c>
      <c r="B11" s="16" t="s">
        <v>160</v>
      </c>
    </row>
    <row r="12" ht="39.75" customHeight="1">
      <c r="A12" s="12" t="s">
        <v>161</v>
      </c>
      <c r="B12" s="16" t="s">
        <v>162</v>
      </c>
    </row>
    <row r="13" ht="156.75" customHeight="1">
      <c r="A13" s="12" t="s">
        <v>163</v>
      </c>
      <c r="B13" s="16" t="s">
        <v>164</v>
      </c>
      <c r="C13" s="22" t="s">
        <v>165</v>
      </c>
    </row>
    <row r="14">
      <c r="C14" s="22" t="s">
        <v>166</v>
      </c>
    </row>
    <row r="15">
      <c r="A15" s="18" t="s">
        <v>59</v>
      </c>
      <c r="C15" s="22"/>
    </row>
    <row r="16" ht="54.0" customHeight="1">
      <c r="A16" s="28"/>
      <c r="B16" s="21"/>
    </row>
    <row r="17">
      <c r="A17" s="18" t="s">
        <v>167</v>
      </c>
    </row>
    <row r="18" ht="55.5" customHeight="1">
      <c r="A18" s="41" t="str">
        <f>IF(COUNTA(B9:B13)&lt;5,"— 위 다섯 칸을 다 채우면 여기에 문장이 만들어진다",B9&amp;" "&amp;B10&amp;" "&amp;B11&amp;" "&amp;B12&amp;". 그래서 만들 것 — "&amp;B13&amp;".")</f>
        <v>플레이브를 좋아하는 32세 직장인 여성팬은 1 인지 플레이브 굿즈(인형) 공식 티저 영상 후기를 보고 (#7) 공식인형을 구매하게 된다. (오프라인 행사에 동행 가능/ #3). 그래서 만들 것 — 솜인형이다보니 봉제관련 문제점이 발견되었으며 출시 전 샘플 검수 강화 및 QC 체크리스트 활용이 필요하다(#1,#5,#9,#10).</v>
      </c>
      <c r="B18" s="21"/>
    </row>
    <row r="20">
      <c r="A20" s="24" t="s">
        <v>168</v>
      </c>
    </row>
    <row r="21" ht="21.75" customHeight="1">
      <c r="A21" s="25" t="s">
        <v>169</v>
      </c>
      <c r="B21" s="42" t="str">
        <f>IF(COUNTA(B9:B13)=5,"○ 문장이 만들어졌다","△ "&amp;(5-COUNTA(B9:B13))&amp;"칸 남았다")</f>
        <v>○ 문장이 만들어졌다</v>
      </c>
    </row>
    <row r="22" ht="21.75" customHeight="1">
      <c r="A22" s="25" t="s">
        <v>170</v>
      </c>
      <c r="B22" s="42" t="str">
        <f>IF(B11="","△ 아직 비었다",IF(ISNUMBER(SEARCH("#",B11)),"○ #번호가 붙었다","△ 앞 시트의 #번호를 같이 적어라 — 번호 없는 문장은 의견이다"))</f>
        <v>○ #번호가 붙었다</v>
      </c>
    </row>
    <row r="23" ht="21.75" customHeight="1">
      <c r="A23" s="25" t="s">
        <v>171</v>
      </c>
      <c r="B23" s="42" t="str">
        <f>IF(COUNTA(B9:B13)&lt;5,"— 아직",IF(LEN(A18)&gt;180,"△ 너무 길다 — 각 칸을 줄여라","○ 한 숨에 읽힌다"))</f>
        <v>△ 너무 길다 — 각 칸을 줄여라</v>
      </c>
    </row>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A3:B3"/>
    <mergeCell ref="A16:B16"/>
    <mergeCell ref="A18:B18"/>
  </mergeCells>
  <dataValidations>
    <dataValidation type="list" allowBlank="1" showInputMessage="1" showErrorMessage="1" prompt="어느 단계에서 - 앞 시트에서 ★ 를 찍은 단계를 고른다." sqref="B10">
      <formula1>"1 인지,2 관심,3 경험,4 공유,5 재참여"</formula1>
    </dataValidation>
  </dataValidations>
  <printOptions/>
  <pageMargins bottom="0.4" footer="0.0" header="0.0" left="0.3" right="0.3" top="0.4"/>
  <pageSetup fitToHeight="0" paperSize="9"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06D4F"/>
    <pageSetUpPr fitToPage="1"/>
  </sheetPr>
  <sheetViews>
    <sheetView showGridLines="0" workbookViewId="0">
      <pane ySplit="8.0" topLeftCell="A9" activePane="bottomLeft" state="frozen"/>
      <selection activeCell="B10" sqref="B10" pane="bottomLeft"/>
    </sheetView>
  </sheetViews>
  <sheetFormatPr customHeight="1" defaultColWidth="14.43" defaultRowHeight="15.0"/>
  <cols>
    <col customWidth="1" min="1" max="1" width="26.0"/>
    <col customWidth="1" min="2" max="2" width="92.0"/>
    <col customWidth="1" min="3" max="26" width="8.71"/>
  </cols>
  <sheetData>
    <row r="1">
      <c r="A1" s="1" t="s">
        <v>0</v>
      </c>
    </row>
    <row r="2">
      <c r="A2" s="2" t="s">
        <v>172</v>
      </c>
    </row>
    <row r="3" ht="30.0" customHeight="1">
      <c r="A3" s="3" t="s">
        <v>173</v>
      </c>
    </row>
    <row r="5">
      <c r="A5" s="5" t="s">
        <v>7</v>
      </c>
      <c r="B5" s="7" t="s">
        <v>10</v>
      </c>
    </row>
    <row r="6">
      <c r="A6" s="5" t="s">
        <v>11</v>
      </c>
      <c r="B6" s="7" t="s">
        <v>13</v>
      </c>
    </row>
    <row r="8" ht="33.75" customHeight="1">
      <c r="A8" s="9" t="s">
        <v>155</v>
      </c>
      <c r="B8" s="9" t="s">
        <v>156</v>
      </c>
    </row>
    <row r="9" ht="39.75" customHeight="1">
      <c r="A9" s="11" t="s">
        <v>157</v>
      </c>
      <c r="B9" s="13" t="s">
        <v>174</v>
      </c>
    </row>
    <row r="10" ht="39.75" customHeight="1">
      <c r="A10" s="11" t="s">
        <v>20</v>
      </c>
      <c r="B10" s="13" t="s">
        <v>175</v>
      </c>
    </row>
    <row r="11" ht="39.75" customHeight="1">
      <c r="A11" s="11" t="s">
        <v>159</v>
      </c>
      <c r="B11" s="13" t="s">
        <v>176</v>
      </c>
    </row>
    <row r="12" ht="39.75" customHeight="1">
      <c r="A12" s="11" t="s">
        <v>161</v>
      </c>
      <c r="B12" s="13" t="s">
        <v>177</v>
      </c>
    </row>
    <row r="13" ht="39.75" customHeight="1">
      <c r="A13" s="11" t="s">
        <v>163</v>
      </c>
      <c r="B13" s="13" t="s">
        <v>178</v>
      </c>
    </row>
    <row r="15">
      <c r="A15" s="18" t="s">
        <v>59</v>
      </c>
    </row>
    <row r="16" ht="54.0" customHeight="1">
      <c r="A16" s="19" t="s">
        <v>179</v>
      </c>
      <c r="B16" s="21"/>
    </row>
    <row r="17">
      <c r="A17" s="18" t="s">
        <v>167</v>
      </c>
    </row>
    <row r="18" ht="55.5" customHeight="1">
      <c r="A18" s="41" t="str">
        <f>IF(COUNTA(B9:B13)&lt;5,"— 위 다섯 칸을 다 채우면 여기에 문장이 만들어진다",B9&amp;" "&amp;B10&amp;" "&amp;B11&amp;" "&amp;B12&amp;". 그래서 만들 것 — "&amp;B13&amp;".")</f>
        <v>홈경기를 챙겨 보는 29세 직장인 팬은 3 경험(표를 사고 경기장에 들어가기까지) 에서 #3 현장 발권 줄 30분 · #5 우천 취소를 도착한 뒤에야 알림 — 때문에 1회초를 놓치거나 왕복 3시간을 헛걸음하고, 다음 경기를 중계로 돌린다. 그래서 만들 것 — 입장 전 90분 확정 알림(발권 대기 현황 + 우천 판단).</v>
      </c>
      <c r="B18" s="21"/>
    </row>
    <row r="20">
      <c r="A20" s="24" t="s">
        <v>168</v>
      </c>
    </row>
    <row r="21" ht="21.75" customHeight="1">
      <c r="A21" s="25" t="s">
        <v>169</v>
      </c>
      <c r="B21" s="42" t="str">
        <f>IF(COUNTA(B9:B13)=5,"○ 문장이 만들어졌다","△ "&amp;(5-COUNTA(B9:B13))&amp;"칸 남았다")</f>
        <v>○ 문장이 만들어졌다</v>
      </c>
    </row>
    <row r="22" ht="21.75" customHeight="1">
      <c r="A22" s="25" t="s">
        <v>170</v>
      </c>
      <c r="B22" s="42" t="str">
        <f>IF(B11="","△ 아직 비었다",IF(ISNUMBER(SEARCH("#",B11)),"○ #번호가 붙었다","△ 앞 시트의 #번호를 같이 적어라 — 번호 없는 문장은 의견이다"))</f>
        <v>○ #번호가 붙었다</v>
      </c>
    </row>
    <row r="23" ht="21.75" customHeight="1">
      <c r="A23" s="25" t="s">
        <v>171</v>
      </c>
      <c r="B23" s="42" t="str">
        <f>IF(COUNTA(B9:B13)&lt;5,"— 아직",IF(LEN(A18)&gt;180,"△ 너무 길다 — 각 칸을 줄여라","○ 한 숨에 읽힌다"))</f>
        <v>○ 한 숨에 읽힌다</v>
      </c>
    </row>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A3:B3"/>
    <mergeCell ref="A16:B16"/>
    <mergeCell ref="A18:B18"/>
  </mergeCells>
  <printOptions/>
  <pageMargins bottom="0.4" footer="0.0" header="0.0" left="0.3" right="0.3" top="0.4"/>
  <pageSetup fitToHeight="0" paperSize="9"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D9D9D9"/>
    <pageSetUpPr fitToPage="1"/>
  </sheetPr>
  <sheetViews>
    <sheetView showGridLines="0" workbookViewId="0">
      <pane ySplit="7.0" topLeftCell="A8" activePane="bottomLeft" state="frozen"/>
      <selection activeCell="B9" sqref="B9" pane="bottomLeft"/>
    </sheetView>
  </sheetViews>
  <sheetFormatPr customHeight="1" defaultColWidth="14.43" defaultRowHeight="15.0"/>
  <cols>
    <col customWidth="1" min="1" max="1" width="14.0"/>
    <col customWidth="1" min="2" max="2" width="28.0"/>
    <col customWidth="1" min="3" max="3" width="13.0"/>
    <col customWidth="1" min="4" max="4" width="10.0"/>
    <col customWidth="1" min="5" max="6" width="30.0"/>
    <col customWidth="1" min="7" max="26" width="8.71"/>
  </cols>
  <sheetData>
    <row r="1">
      <c r="A1" s="1" t="s">
        <v>0</v>
      </c>
    </row>
    <row r="2">
      <c r="A2" s="4" t="s">
        <v>180</v>
      </c>
    </row>
    <row r="3" ht="30.0" customHeight="1">
      <c r="A3" s="6" t="s">
        <v>181</v>
      </c>
    </row>
    <row r="5">
      <c r="A5" s="5" t="s">
        <v>7</v>
      </c>
      <c r="B5" s="36"/>
      <c r="C5" s="5" t="s">
        <v>11</v>
      </c>
      <c r="D5" s="36"/>
    </row>
    <row r="7" ht="33.75" customHeight="1">
      <c r="A7" s="10" t="s">
        <v>103</v>
      </c>
      <c r="B7" s="10" t="s">
        <v>182</v>
      </c>
      <c r="C7" s="10" t="s">
        <v>183</v>
      </c>
      <c r="D7" s="10" t="s">
        <v>184</v>
      </c>
      <c r="E7" s="10" t="s">
        <v>185</v>
      </c>
      <c r="F7" s="10" t="s">
        <v>186</v>
      </c>
    </row>
    <row r="8" ht="45.75" customHeight="1">
      <c r="A8" s="12" t="s">
        <v>187</v>
      </c>
      <c r="B8" s="38"/>
      <c r="C8" s="38"/>
      <c r="D8" s="38"/>
      <c r="E8" s="38"/>
      <c r="F8" s="38"/>
    </row>
    <row r="9" ht="45.75" customHeight="1">
      <c r="A9" s="12" t="s">
        <v>188</v>
      </c>
      <c r="B9" s="38"/>
      <c r="C9" s="38"/>
      <c r="D9" s="38"/>
      <c r="E9" s="38"/>
      <c r="F9" s="38"/>
    </row>
    <row r="10" ht="45.75" customHeight="1">
      <c r="A10" s="12" t="s">
        <v>189</v>
      </c>
      <c r="B10" s="38"/>
      <c r="C10" s="38"/>
      <c r="D10" s="38"/>
      <c r="E10" s="38"/>
      <c r="F10" s="38"/>
    </row>
    <row r="11" ht="45.75" customHeight="1">
      <c r="A11" s="12" t="s">
        <v>190</v>
      </c>
      <c r="B11" s="38"/>
      <c r="C11" s="38"/>
      <c r="D11" s="38"/>
      <c r="E11" s="38"/>
      <c r="F11" s="38"/>
    </row>
    <row r="12" ht="45.75" customHeight="1">
      <c r="A12" s="12" t="s">
        <v>191</v>
      </c>
      <c r="B12" s="38"/>
      <c r="C12" s="38"/>
      <c r="D12" s="38"/>
      <c r="E12" s="38"/>
      <c r="F12" s="38"/>
    </row>
    <row r="14">
      <c r="A14" s="18" t="s">
        <v>59</v>
      </c>
    </row>
    <row r="15" ht="54.0" customHeight="1">
      <c r="A15" s="28"/>
      <c r="B15" s="20"/>
      <c r="C15" s="20"/>
      <c r="D15" s="20"/>
      <c r="E15" s="20"/>
      <c r="F15" s="21"/>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3:F3"/>
    <mergeCell ref="A15:F15"/>
  </mergeCells>
  <dataValidations>
    <dataValidation type="decimal" allowBlank="1" showInputMessage="1" showErrorMessage="1" prompt="감정 점수 - 1 포기·화 ~ 5 자랑하고 싶다" sqref="D8:D12">
      <formula1>1.0</formula1>
      <formula2>5.0</formula2>
    </dataValidation>
    <dataValidation type="list" allowBlank="1" showErrorMessage="1" sqref="F8:F12">
      <formula1>"1 인지,2 관심,3 경험,4 공유,5 재참여,CJM 에 없던 Pain — 새로 발견"</formula1>
    </dataValidation>
  </dataValidations>
  <printOptions/>
  <pageMargins bottom="0.4" footer="0.0" header="0.0" left="0.3" right="0.3" top="0.4"/>
  <pageSetup fitToHeight="0" paperSize="9" orientation="landscape"/>
  <drawing r:id="rId1"/>
</worksheet>
</file>